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c5ce8377c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작_대시보드" sheetId="1" r:id="R0e51cbcb3a0c412f"/>
    <x:sheet xmlns:r="http://schemas.openxmlformats.org/officeDocument/2006/relationships" name="주차별_실행" sheetId="2" r:id="R6a82bb44ee404efa"/>
    <x:sheet xmlns:r="http://schemas.openxmlformats.org/officeDocument/2006/relationships" name="100일_체크리스트" sheetId="3" r:id="R3cd5803a46a14a9a"/>
    <x:sheet xmlns:r="http://schemas.openxmlformats.org/officeDocument/2006/relationships" name="콘텐츠_주제" sheetId="4" r:id="R165831175fa749c4"/>
    <x:sheet xmlns:r="http://schemas.openxmlformats.org/officeDocument/2006/relationships" name="광고_예산" sheetId="5" r:id="R4815d7eb47fe495d"/>
    <x:sheet xmlns:r="http://schemas.openxmlformats.org/officeDocument/2006/relationships" name="성과_기록" sheetId="6" r:id="R0521873c6dae477d"/>
    <x:sheet xmlns:r="http://schemas.openxmlformats.org/officeDocument/2006/relationships" name="제휴_관리" sheetId="7" r:id="R5bbbb207657d4770"/>
    <x:sheet xmlns:r="http://schemas.openxmlformats.org/officeDocument/2006/relationships" name="문구_템플릿" sheetId="8" r:id="R707f476f3d744ac2"/>
    <x:sheet xmlns:r="http://schemas.openxmlformats.org/officeDocument/2006/relationships" name="근거_출처" sheetId="9" r:id="R6d97aa7eb3cd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/d"/>
    <x:numFmt numFmtId="201" formatCode="#,##0&quot;원&quot;"/>
    <x:numFmt numFmtId="202" formatCode="0.0%"/>
    <x:numFmt numFmtId="203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526271"/>
      <x:name val="Carlito"/>
    </x:font>
    <x:font>
      <x:sz val="11"/>
      <x:color rgb="FF233247"/>
      <x:name val="Carlito"/>
    </x:font>
    <x:font>
      <x:sz val="11"/>
      <x:color rgb="FF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5F4"/>
      </x:patternFill>
    </x:fill>
    <x:fill>
      <x:patternFill patternType="solid">
        <x:fgColor rgb="FF0F766E"/>
      </x:patternFill>
    </x:fill>
    <x:fill>
      <x:patternFill patternType="solid">
        <x:fgColor rgb="FFEAF2FF"/>
      </x:patternFill>
    </x:fill>
    <x:fill>
      <x:patternFill patternType="solid">
        <x:fgColor rgb="FFFFF6E4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4" fillId="5" borderId="0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065F46"/>
      </x:font>
      <x:fill>
        <x:patternFill patternType="solid">
          <x:bgColor rgb="FFD1FAE5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791ec7ee544a2" /><Relationship Type="http://schemas.openxmlformats.org/officeDocument/2006/relationships/theme" Target="/xl/theme/theme1.xml" Id="R089610526c064eb6" /><Relationship Type="http://schemas.openxmlformats.org/officeDocument/2006/relationships/sharedStrings" Target="/xl/sharedStrings.xml" Id="Rf2cff6a47b9f4b08" /><Relationship Type="http://schemas.openxmlformats.org/officeDocument/2006/relationships/worksheet" Target="/xl/worksheets/sheet1.xml" Id="R0e51cbcb3a0c412f" /><Relationship Type="http://schemas.openxmlformats.org/officeDocument/2006/relationships/worksheet" Target="/xl/worksheets/sheet2.xml" Id="R6a82bb44ee404efa" /><Relationship Type="http://schemas.openxmlformats.org/officeDocument/2006/relationships/worksheet" Target="/xl/worksheets/sheet3.xml" Id="R3cd5803a46a14a9a" /><Relationship Type="http://schemas.openxmlformats.org/officeDocument/2006/relationships/worksheet" Target="/xl/worksheets/sheet4.xml" Id="R165831175fa749c4" /><Relationship Type="http://schemas.openxmlformats.org/officeDocument/2006/relationships/worksheet" Target="/xl/worksheets/sheet5.xml" Id="R4815d7eb47fe495d" /><Relationship Type="http://schemas.openxmlformats.org/officeDocument/2006/relationships/worksheet" Target="/xl/worksheets/sheet6.xml" Id="R0521873c6dae477d" /><Relationship Type="http://schemas.openxmlformats.org/officeDocument/2006/relationships/worksheet" Target="/xl/worksheets/sheet7.xml" Id="R5bbbb207657d4770" /><Relationship Type="http://schemas.openxmlformats.org/officeDocument/2006/relationships/worksheet" Target="/xl/worksheets/sheet8.xml" Id="R707f476f3d744ac2" /><Relationship Type="http://schemas.openxmlformats.org/officeDocument/2006/relationships/worksheet" Target="/xl/worksheets/sheet9.xml" Id="R6d97aa7eb3cd4d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a7fe68e05645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주차별 누적 도전목표 | 예측·실적 아님</a:t>
            </a:r>
          </a:p>
        </c:rich>
      </c:tx>
    </c:title>
    <c:plotArea>
      <c:lineChart>
        <c:grouping val="standard"/>
        <c:ser>
          <c:idx val="0"/>
          <c:order val="0"/>
          <c:tx>
            <c:v>IG 계획누적</c:v>
          </c:tx>
          <c:marker>
            <c:symbol val="none"/>
          </c:marker>
          <c:cat>
            <c:strRef>
              <c:f>'시작_대시보드'!$A$32:$A$46</c:f>
              <c:strCache>
                <c:ptCount val="0"/>
              </c:strCache>
            </c:strRef>
          </c:cat>
          <c:val>
            <c:numRef>
              <c:f>'시작_대시보드'!$B$32:$B$46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이웃 계획누적</c:v>
          </c:tx>
          <c:marker>
            <c:symbol val="none"/>
          </c:marker>
          <c:cat>
            <c:strRef>
              <c:f>'시작_대시보드'!$A$32:$A$46</c:f>
              <c:strCache>
                <c:ptCount val="0"/>
              </c:strCache>
            </c:strRef>
          </c:cat>
          <c:val>
            <c:numRef>
              <c:f>'시작_대시보드'!$C$32:$C$46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카톡 계획누적</c:v>
          </c:tx>
          <c:marker>
            <c:symbol val="none"/>
          </c:marker>
          <c:cat>
            <c:strRef>
              <c:f>'시작_대시보드'!$A$32:$A$46</c:f>
              <c:strCache>
                <c:ptCount val="0"/>
              </c:strCache>
            </c:strRef>
          </c:cat>
          <c:val>
            <c:numRef>
              <c:f>'시작_대시보드'!$D$32:$D$46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30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a7fe68e05645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" displayName="T1" ref="A5:R20" headerRowCount="1" totalsRowCount="0" totalsRowShown="0">
  <x:tableColumns count="18">
    <x:tableColumn id="1" name="주차"/>
    <x:tableColumn id="2" name="시작"/>
    <x:tableColumn id="3" name="종료"/>
    <x:tableColumn id="4" name="중심 주제"/>
    <x:tableColumn id="5" name="블로그 제목"/>
    <x:tableColumn id="6" name="릴스 3개 주제"/>
    <x:tableColumn id="7" name="자료·산출물"/>
    <x:tableColumn id="8" name="게시 외 성장 활동"/>
    <x:tableColumn id="9" name="제휴 활동"/>
    <x:tableColumn id="10" name="카카오 운영"/>
    <x:tableColumn id="11" name="광고 실험"/>
    <x:tableColumn id="12" name="행사 제안"/>
    <x:tableColumn id="13" name="검토·완료 기준"/>
    <x:tableColumn id="14" name="IG 목표순증"/>
    <x:tableColumn id="15" name="이웃 목표순증"/>
    <x:tableColumn id="16" name="카톡 목표순증"/>
    <x:tableColumn id="17" name="지출상한(원)"/>
    <x:tableColumn id="18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5:O105" headerRowCount="1" totalsRowCount="0" totalsRowShown="0">
  <x:tableColumns count="15">
    <x:tableColumn id="1" name="Day"/>
    <x:tableColumn id="2" name="날짜"/>
    <x:tableColumn id="3" name="주차"/>
    <x:tableColumn id="4" name="요일"/>
    <x:tableColumn id="5" name="오늘의 성과"/>
    <x:tableColumn id="6" name="필수 실행"/>
    <x:tableColumn id="7" name="발행·제작 주제"/>
    <x:tableColumn id="8" name="일상 교류"/>
    <x:tableColumn id="9" name="게시 외 성장 활동"/>
    <x:tableColumn id="10" name="광고 점검"/>
    <x:tableColumn id="11" name="측정"/>
    <x:tableColumn id="12" name="상태"/>
    <x:tableColumn id="13" name="계획분"/>
    <x:tableColumn id="14" name="실제분"/>
    <x:tableColumn id="15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5:K107" headerRowCount="1" totalsRowCount="0" totalsRowShown="0">
  <x:tableColumns count="11">
    <x:tableColumn id="1" name="ID"/>
    <x:tableColumn id="2" name="주차"/>
    <x:tableColumn id="3" name="예정일"/>
    <x:tableColumn id="4" name="채널·형식"/>
    <x:tableColumn id="5" name="제목·첫 문장"/>
    <x:tableColumn id="6" name="구성"/>
    <x:tableColumn id="7" name="다음 행동(CTA)"/>
    <x:tableColumn id="8" name="자료"/>
    <x:tableColumn id="9" name="검수"/>
    <x:tableColumn id="10" name="상태"/>
    <x:tableColumn id="11" name="발행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5:P20" headerRowCount="1" totalsRowCount="0" totalsRowShown="0">
  <x:tableColumns count="16">
    <x:tableColumn id="1" name="주차"/>
    <x:tableColumn id="2" name="시작"/>
    <x:tableColumn id="3" name="종료"/>
    <x:tableColumn id="4" name="Meta 배정"/>
    <x:tableColumn id="5" name="네이버 배정"/>
    <x:tableColumn id="6" name="카카오 배정"/>
    <x:tableColumn id="7" name="제휴·공동콘텐츠"/>
    <x:tableColumn id="8" name="자료·메시지·운영"/>
    <x:tableColumn id="9" name="주차합계(자동)"/>
    <x:tableColumn id="10" name="실험"/>
    <x:tableColumn id="11" name="통제"/>
    <x:tableColumn id="12" name="중단 기준"/>
    <x:tableColumn id="13" name="비고"/>
    <x:tableColumn id="14" name="실제총지출"/>
    <x:tableColumn id="15" name="계획대비잔액"/>
    <x:tableColumn id="16" name="변경 이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5:Z20" headerRowCount="1" totalsRowCount="0" totalsRowShown="0">
  <x:tableColumns count="26">
    <x:tableColumn id="1" name="주차"/>
    <x:tableColumn id="2" name="시작"/>
    <x:tableColumn id="3" name="종료"/>
    <x:tableColumn id="4" name="IG목표순증"/>
    <x:tableColumn id="5" name="이웃목표순증"/>
    <x:tableColumn id="6" name="카톡목표순증"/>
    <x:tableColumn id="7" name="IG기말(입력)"/>
    <x:tableColumn id="8" name="나를추가한이웃기말"/>
    <x:tableColumn id="9" name="카톡친구기말"/>
    <x:tableColumn id="10" name="IG실제순증"/>
    <x:tableColumn id="11" name="이웃실제순증"/>
    <x:tableColumn id="12" name="카톡실제순증"/>
    <x:tableColumn id="13" name="자료요청가정"/>
    <x:tableColumn id="14" name="신규채팅"/>
    <x:tableColumn id="15" name="체험신청가정"/>
    <x:tableColumn id="16" name="첫학습가정"/>
    <x:tableColumn id="17" name="유료등록가정"/>
    <x:tableColumn id="18" name="IG광고프로필방문"/>
    <x:tableColumn id="19" name="네이버검색유입"/>
    <x:tableColumn id="20" name="클립조회"/>
    <x:tableColumn id="21" name="공동게시완료"/>
    <x:tableColumn id="22" name="발송대상수"/>
    <x:tableColumn id="23" name="발송관련차단수"/>
    <x:tableColumn id="24" name="소재·원인메모"/>
    <x:tableColumn id="25" name="실제지출(자동)"/>
    <x:tableColumn id="26" name="체험첫학습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5:R35" headerRowCount="1" totalsRowCount="0" totalsRowShown="0">
  <x:tableColumns count="18">
    <x:tableColumn id="1" name="ID"/>
    <x:tableColumn id="2" name="계정·커뮤니티"/>
    <x:tableColumn id="3" name="공개 URL"/>
    <x:tableColumn id="4" name="분야"/>
    <x:tableColumn id="5" name="대상 적합성(1~5)"/>
    <x:tableColumn id="6" name="최근 관련반응(1~5)"/>
    <x:tableColumn id="7" name="광고 과밀도(1~5,낮음=5)"/>
    <x:tableColumn id="8" name="공개협업창구"/>
    <x:tableColumn id="9" name="허용조건"/>
    <x:tableColumn id="10" name="제안일"/>
    <x:tableColumn id="11" name="제안한 자료"/>
    <x:tableColumn id="12" name="상태"/>
    <x:tableColumn id="13" name="합의예산"/>
    <x:tableColumn id="14" name="게시일"/>
    <x:tableColumn id="15" name="추적코드"/>
    <x:tableColumn id="16" name="기재된 대가표시"/>
    <x:tableColumn id="17" name="실제 문의·첫학습"/>
    <x:tableColumn id="18" name="메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5:E20" headerRowCount="1" totalsRowCount="0" totalsRowShown="0">
  <x:tableColumns count="5">
    <x:tableColumn id="1" name="ID"/>
    <x:tableColumn id="2" name="용도"/>
    <x:tableColumn id="3" name="사용 조건"/>
    <x:tableColumn id="4" name="문구 초안"/>
    <x:tableColumn id="5" name="금지·주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5:G23" headerRowCount="1" totalsRowCount="0" totalsRowShown="0">
  <x:tableColumns count="7">
    <x:tableColumn id="1" name="ID"/>
    <x:tableColumn id="2" name="항목"/>
    <x:tableColumn id="3" name="출처 구분"/>
    <x:tableColumn id="4" name="확인한 내용"/>
    <x:tableColumn id="5" name="원문 URL"/>
    <x:tableColumn id="6" name="확인일"/>
    <x:tableColumn id="7" name="한계·적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92843a957e4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50dc4e98b4d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8d1c4e327743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4b26cf7e2248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f858c0d84b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75e5b8d73d48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96342afb4740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499a4b319546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fe3ab5d907400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9" hidden="0" customWidth="1"/>
    <x:col min="3" max="3" width="24" hidden="0" customWidth="1"/>
    <x:col min="4" max="4" width="14" hidden="0" customWidth="1"/>
    <x:col min="5" max="5" width="23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5" customHeight="1">
      <x:c r="A1" s="7" t="str">
        <x:v>METASENSE | 100일 성장 실행 시스템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4" customHeight="1">
      <x:c r="A2" s="11" t="str">
        <x:v>2026.09.08–12.16 · 기존 공식 채널을 성장시키는 집중 운영안. 파란 칸은 실제 입력, 녹색 계열은 계산/계획. 숫자 목표는 확약이 아닌 2주 검증용 도전목표.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24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24" customHeight="1">
      <x:c r="A4" s="15" t="str">
        <x:v>시작 조건</x:v>
      </x:c>
      <x:c r="B4" s="15"/>
      <x:c r="C4" s="15"/>
      <x:c r="D4" s="4"/>
      <x:c r="E4" s="15" t="str">
        <x:v>100일 도전목표 | 예측 아님</x:v>
      </x:c>
      <x:c r="F4" s="15"/>
      <x:c r="G4" s="15"/>
      <x:c r="H4" s="15"/>
      <x:c r="I4" s="4"/>
      <x:c r="J4" s="15" t="str">
        <x:v>실행 순서</x:v>
      </x:c>
      <x:c r="K4" s="15"/>
      <x:c r="L4" s="15"/>
    </x:row>
    <x:row r="5" ht="24" customHeight="1">
      <x:c r="A5" s="4" t="str">
        <x:v>시작일</x:v>
      </x:c>
      <x:c r="B5" s="38" t="n">
        <x:v>46273</x:v>
      </x:c>
      <x:c r="C5" s="4" t="str">
        <x:v>고정 계획일</x:v>
      </x:c>
      <x:c r="D5" s="4"/>
      <x:c r="E5" s="4" t="str">
        <x:v>인스타 순증</x:v>
      </x:c>
      <x:c r="F5" s="4" t="n">
        <x:f>SUM('주차별_실행'!N6:N20)</x:f>
        <x:v>1000</x:v>
      </x:c>
      <x:c r="G5" s="4" t="str">
        <x:v>단위: 명</x:v>
      </x:c>
      <x:c r="H5" s="4"/>
      <x:c r="I5" s="4"/>
      <x:c r="J5" s="4" t="str">
        <x:v>1. 기준값 3개 입력</x:v>
      </x:c>
      <x:c r="K5" s="4"/>
      <x:c r="L5" s="4"/>
    </x:row>
    <x:row r="6" ht="24" customHeight="1">
      <x:c r="A6" s="4" t="str">
        <x:v>일수</x:v>
      </x:c>
      <x:c r="B6" s="4" t="n">
        <x:v>100</x:v>
      </x:c>
      <x:c r="C6" s="4" t="str">
        <x:v>14주+2일</x:v>
      </x:c>
      <x:c r="D6" s="4"/>
      <x:c r="E6" s="4" t="str">
        <x:v>블로그 독자 순증</x:v>
      </x:c>
      <x:c r="F6" s="4" t="n">
        <x:f>SUM('주차별_실행'!O6:O20)</x:f>
        <x:v>300</x:v>
      </x:c>
      <x:c r="G6" s="4" t="str">
        <x:v>단위: 명</x:v>
      </x:c>
      <x:c r="H6" s="4"/>
      <x:c r="I6" s="4"/>
      <x:c r="J6" s="4"/>
      <x:c r="K6" s="4"/>
      <x:c r="L6" s="4"/>
    </x:row>
    <x:row r="7" ht="24" customHeight="1">
      <x:c r="A7" s="4" t="str">
        <x:v>총 현금상한</x:v>
      </x:c>
      <x:c r="B7" s="40" t="n">
        <x:f>'광고_예산'!B24</x:f>
        <x:v>3000000</x:v>
      </x:c>
      <x:c r="C7" s="4" t="str">
        <x:v>인건비 별도</x:v>
      </x:c>
      <x:c r="D7" s="4"/>
      <x:c r="E7" s="4" t="str">
        <x:v>카카오 친구 순증</x:v>
      </x:c>
      <x:c r="F7" s="4" t="n">
        <x:f>SUM('주차별_실행'!P6:P20)</x:f>
        <x:v>500</x:v>
      </x:c>
      <x:c r="G7" s="4" t="str">
        <x:v>단위: 명</x:v>
      </x:c>
      <x:c r="H7" s="4"/>
      <x:c r="I7" s="4"/>
      <x:c r="J7" s="4" t="str">
        <x:v>2. 이번 주 + 오늘 할 일 확인</x:v>
      </x:c>
      <x:c r="K7" s="4"/>
      <x:c r="L7" s="4"/>
    </x:row>
    <x:row r="8" ht="24" customHeight="1">
      <x:c r="A8" s="4" t="str">
        <x:v>미집행 예비비</x:v>
      </x:c>
      <x:c r="B8" s="40" t="n">
        <x:v>300000</x:v>
      </x:c>
      <x:c r="C8" s="4" t="str">
        <x:v>실험 실패 시 사용 안 함</x:v>
      </x:c>
      <x:c r="D8" s="4"/>
      <x:c r="E8" s="4" t="str">
        <x:v>종료일</x:v>
      </x:c>
      <x:c r="F8" s="38" t="n">
        <x:f>B5+B6-1</x:f>
        <x:v>46372</x:v>
      </x:c>
      <x:c r="G8" s="4"/>
      <x:c r="H8" s="4"/>
      <x:c r="I8" s="4"/>
      <x:c r="J8" s="4"/>
      <x:c r="K8" s="4"/>
      <x:c r="L8" s="4"/>
    </x:row>
    <x:row r="9" ht="24" customHeight="1">
      <x:c r="A9" s="4" t="str">
        <x:v>주간 운영시간</x:v>
      </x:c>
      <x:c r="B9" s="4" t="str">
        <x:v>18~22시간</x:v>
      </x:c>
      <x:c r="C9" s="4" t="str">
        <x:v>본인+보조 합산 가능</x:v>
      </x:c>
      <x:c r="D9" s="4"/>
      <x:c r="E9" s="4" t="str">
        <x:v>일별 완료율</x:v>
      </x:c>
      <x:c r="F9" s="42" t="n">
        <x:f>COUNTIF('100일_체크리스트'!L6:L105,"완료")/B6</x:f>
        <x:v>0</x:v>
      </x:c>
      <x:c r="G9" s="4"/>
      <x:c r="H9" s="4"/>
      <x:c r="I9" s="4"/>
      <x:c r="J9" s="4" t="str">
        <x:v>3. 매주 기말·지출·학습 입력</x:v>
      </x:c>
      <x:c r="K9" s="4"/>
      <x:c r="L9" s="4"/>
    </x:row>
    <x:row r="10" ht="24" customHeight="1">
      <x:c r="A10" s="4" t="str">
        <x:v>시작 IG 팔로워</x:v>
      </x:c>
      <x:c r="B10" s="24"/>
      <x:c r="C10" s="4" t="str">
        <x:v>실제 확인 후 입력</x:v>
      </x:c>
      <x:c r="D10" s="4"/>
      <x:c r="E10" s="4" t="str">
        <x:v>실제 집행비</x:v>
      </x:c>
      <x:c r="F10" s="40" t="str">
        <x:f>IF(COUNT('광고_예산'!N6:N20)=0,"",SUM('광고_예산'!N6:N20))</x:f>
      </x:c>
      <x:c r="G10" s="4"/>
      <x:c r="H10" s="4"/>
      <x:c r="I10" s="4"/>
      <x:c r="J10" s="4"/>
      <x:c r="K10" s="4"/>
      <x:c r="L10" s="4"/>
    </x:row>
    <x:row r="11" ht="24" customHeight="1">
      <x:c r="A11" s="4" t="str">
        <x:v>시작 나를추가한이웃</x:v>
      </x:c>
      <x:c r="B11" s="24"/>
      <x:c r="C11" s="4" t="str">
        <x:v>내가 추가한 이웃 아님</x:v>
      </x:c>
      <x:c r="D11" s="4"/>
      <x:c r="E11" s="4"/>
      <x:c r="F11" s="4"/>
      <x:c r="G11" s="4"/>
      <x:c r="H11" s="4"/>
      <x:c r="I11" s="4"/>
      <x:c r="J11" s="4" t="str">
        <x:v>4. 2주마다 목표·예산 수정</x:v>
      </x:c>
      <x:c r="K11" s="4"/>
      <x:c r="L11" s="4"/>
    </x:row>
    <x:row r="12" ht="24" customHeight="1">
      <x:c r="A12" s="4" t="str">
        <x:v>시작 카톡 친구</x:v>
      </x:c>
      <x:c r="B12" s="24"/>
      <x:c r="C12" s="4" t="str">
        <x:v>실제 친구 수</x:v>
      </x:c>
      <x:c r="D12" s="4"/>
      <x:c r="E12" s="4"/>
      <x:c r="F12" s="4"/>
      <x:c r="G12" s="4"/>
      <x:c r="H12" s="4"/>
      <x:c r="I12" s="4"/>
      <x:c r="J12" s="4"/>
      <x:c r="K12" s="4"/>
      <x:c r="L12" s="4"/>
    </x:row>
    <x:row r="13" ht="24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24" customHeight="1">
      <x:c r="A14" s="15" t="str">
        <x:v>현재 성과 | 시작값과 기말 실적을 입력해야 계산됩니다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 ht="24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42" customHeight="1">
      <x:c r="A16" s="7" t="str">
        <x:v>채널</x:v>
      </x:c>
      <x:c r="B16" s="7" t="str">
        <x:v>시작값</x:v>
      </x:c>
      <x:c r="C16" s="7" t="str">
        <x:v>100일순증목표</x:v>
      </x:c>
      <x:c r="D16" s="7" t="str">
        <x:v>실제누적순증</x:v>
      </x:c>
      <x:c r="E16" s="7" t="str">
        <x:v>목표달성률</x:v>
      </x:c>
      <x:c r="F16" s="7" t="str">
        <x:v>판단</x:v>
      </x:c>
      <x:c r="G16" s="4"/>
      <x:c r="H16" s="36" t="str">
        <x:v>주의: 1,000+300+500을 고유 학부모 1,800명으로 더하지 않습니다.
자료요청·체험·등록은 가정 단위 중복을 제거합니다.
광고비÷전체 순증은 참고 효율이며 광고만의 인과 효과가 아닙니다.</x:v>
      </x:c>
      <x:c r="I16" s="36"/>
      <x:c r="J16" s="36"/>
      <x:c r="K16" s="36"/>
      <x:c r="L16" s="36"/>
    </x:row>
    <x:row r="17" ht="42" customHeight="1">
      <x:c r="A17" s="4" t="str">
        <x:v>인스타</x:v>
      </x:c>
      <x:c r="B17" s="4" t="str">
        <x:f>IF(B10="","",B10)</x:f>
      </x:c>
      <x:c r="C17" s="4" t="n">
        <x:f>F5</x:f>
        <x:v>1000</x:v>
      </x:c>
      <x:c r="D17" s="4" t="str">
        <x:f>IF(COUNT('성과_기록'!J6:J20)=0,"",SUM('성과_기록'!J6:J20))</x:f>
      </x:c>
      <x:c r="E17" s="42" t="str">
        <x:f>IF(OR(D17="",C17=0),"",D17/C17)</x:f>
      </x:c>
      <x:c r="F17" s="4" t="str">
        <x:v>도달보다 다음 콘텐츠를 볼 이유</x:v>
      </x:c>
      <x:c r="G17" s="4"/>
      <x:c r="H17" s="36"/>
      <x:c r="I17" s="36"/>
      <x:c r="J17" s="36"/>
      <x:c r="K17" s="36"/>
      <x:c r="L17" s="36"/>
    </x:row>
    <x:row r="18" ht="42" customHeight="1">
      <x:c r="A18" s="4" t="str">
        <x:v>네이버 블로그</x:v>
      </x:c>
      <x:c r="B18" s="4" t="str">
        <x:f>IF(B11="","",B11)</x:f>
      </x:c>
      <x:c r="C18" s="4" t="n">
        <x:f>F6</x:f>
        <x:v>300</x:v>
      </x:c>
      <x:c r="D18" s="4" t="str">
        <x:f>IF(COUNT('성과_기록'!K6:K20)=0,"",SUM('성과_기록'!K6:K20))</x:f>
      </x:c>
      <x:c r="E18" s="42" t="str">
        <x:f>IF(OR(D18="",C18=0),"",D18/C18)</x:f>
      </x:c>
      <x:c r="F18" s="4" t="str">
        <x:v>검색 방문과 실제 이웃을 분리</x:v>
      </x:c>
      <x:c r="G18" s="4"/>
      <x:c r="H18" s="36"/>
      <x:c r="I18" s="36"/>
      <x:c r="J18" s="36"/>
      <x:c r="K18" s="36"/>
      <x:c r="L18" s="36"/>
    </x:row>
    <x:row r="19" ht="42" customHeight="1">
      <x:c r="A19" s="4" t="str">
        <x:v>카카오</x:v>
      </x:c>
      <x:c r="B19" s="4" t="str">
        <x:f>IF(B12="","",B12)</x:f>
      </x:c>
      <x:c r="C19" s="4" t="n">
        <x:f>F7</x:f>
        <x:v>500</x:v>
      </x:c>
      <x:c r="D19" s="4" t="str">
        <x:f>IF(COUNT('성과_기록'!L6:L20)=0,"",SUM('성과_기록'!L6:L20))</x:f>
      </x:c>
      <x:c r="E19" s="42" t="str">
        <x:f>IF(OR(D19="",C19=0),"",D19/C19)</x:f>
      </x:c>
      <x:c r="F19" s="4" t="str">
        <x:v>친구 수와 첫채팅·첫학습을 함께</x:v>
      </x:c>
      <x:c r="G19" s="4"/>
      <x:c r="H19" s="36"/>
      <x:c r="I19" s="36"/>
      <x:c r="J19" s="36"/>
      <x:c r="K19" s="36"/>
      <x:c r="L19" s="36"/>
    </x:row>
    <x:row r="20" ht="24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 ht="24" customHeight="1">
      <x:c r="A21" s="15" t="str">
        <x:v>주간 고정 실행량 | 첫 2주 후 실제 시간에 맞춰 조정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54" customHeight="1">
      <x:c r="A23" s="4" t="str">
        <x:v>콘텐츠</x:v>
      </x:c>
      <x:c r="B23" s="4" t="str">
        <x:v>블로그 2편</x:v>
      </x:c>
      <x:c r="C23" s="4" t="str">
        <x:v>릴스 3편</x:v>
      </x:c>
      <x:c r="D23" s="4" t="str">
        <x:v>카드형 1편</x:v>
      </x:c>
      <x:c r="E23" s="4" t="str">
        <x:v>스토리 평일</x:v>
      </x:c>
      <x:c r="F23" s="4" t="str">
        <x:v>클립·쇼츠 원본 재사용</x:v>
      </x:c>
      <x:c r="G23" s="4"/>
      <x:c r="H23" s="10" t="str">
        <x:v>통제 원칙
① 새 광고 매체는 한 번에 하나씩 추가
② 동시에 1~2매체·소재 2개 정도
③ 2주 실제 자료로 목표 보정
④ 실패 예산은 쓰지 않아도 됨
⑤ 학생 개인정보·화면 공개는 별도 확인
⑥ 아동에게 외부 SNS 가입·태그·인증을 요구하지 않음</x:v>
      </x:c>
      <x:c r="I23" s="10"/>
      <x:c r="J23" s="10"/>
      <x:c r="K23" s="10"/>
      <x:c r="L23" s="10"/>
    </x:row>
    <x:row r="24" ht="54" customHeight="1">
      <x:c r="A24" s="4" t="str">
        <x:v>교류</x:v>
      </x:c>
      <x:c r="B24" s="4" t="str">
        <x:v>평일 관련글 10개</x:v>
      </x:c>
      <x:c r="C24" s="4" t="str">
        <x:v>도움될 댓글 ≤6개</x:v>
      </x:c>
      <x:c r="D24" s="4" t="str">
        <x:v>선별 이웃·팔로우</x:v>
      </x:c>
      <x:c r="E24" s="4" t="str">
        <x:v>의무 맞팔 없음</x:v>
      </x:c>
      <x:c r="F24" s="4" t="str">
        <x:v>노출 보장 공식 아님</x:v>
      </x:c>
      <x:c r="G24" s="4"/>
      <x:c r="H24" s="10"/>
      <x:c r="I24" s="10"/>
      <x:c r="J24" s="10"/>
      <x:c r="K24" s="10"/>
      <x:c r="L24" s="10"/>
    </x:row>
    <x:row r="25" ht="54" customHeight="1">
      <x:c r="A25" s="4" t="str">
        <x:v>제휴</x:v>
      </x:c>
      <x:c r="B25" s="4" t="str">
        <x:v>주 5곳 개별 제안</x:v>
      </x:c>
      <x:c r="C25" s="4" t="str">
        <x:v>공개 허용창구</x:v>
      </x:c>
      <x:c r="D25" s="4" t="str">
        <x:v>확인 최대 1회</x:v>
      </x:c>
      <x:c r="E25" s="4" t="str">
        <x:v>거절·무응답 종료</x:v>
      </x:c>
      <x:c r="F25" s="4" t="str">
        <x:v>100일 공동게시 6~8개 목표</x:v>
      </x:c>
      <x:c r="G25" s="4"/>
      <x:c r="H25" s="10"/>
      <x:c r="I25" s="10"/>
      <x:c r="J25" s="10"/>
      <x:c r="K25" s="10"/>
      <x:c r="L25" s="10"/>
    </x:row>
    <x:row r="26" ht="54" customHeight="1">
      <x:c r="A26" s="4" t="str">
        <x:v>카카오</x:v>
      </x:c>
      <x:c r="B26" s="4" t="str">
        <x:v>채널소식 주1회</x:v>
      </x:c>
      <x:c r="C26" s="4" t="str">
        <x:v>홍보 발송 격주1회</x:v>
      </x:c>
      <x:c r="D26" s="4" t="str">
        <x:v>자료 요청 응답</x:v>
      </x:c>
      <x:c r="E26" s="4" t="str">
        <x:v>신규문의 확인</x:v>
      </x:c>
      <x:c r="F26" s="4" t="str">
        <x:v>수신조건·광고표시 준수</x:v>
      </x:c>
      <x:c r="G26" s="4"/>
      <x:c r="H26" s="10"/>
      <x:c r="I26" s="10"/>
      <x:c r="J26" s="10"/>
      <x:c r="K26" s="10"/>
      <x:c r="L26" s="10"/>
    </x:row>
    <x:row r="27" ht="54" customHeight="1">
      <x:c r="A27" s="4" t="str">
        <x:v>행사</x:v>
      </x:c>
      <x:c r="B27" s="4" t="str">
        <x:v>설명회 4회 제안</x:v>
      </x:c>
      <x:c r="C27" s="4" t="str">
        <x:v>7일 활동 1회</x:v>
      </x:c>
      <x:c r="D27" s="4" t="str">
        <x:v>지원 가능 인원</x:v>
      </x:c>
      <x:c r="E27" s="4" t="str">
        <x:v>공개인증 의무 없음</x:v>
      </x:c>
      <x:c r="F27" s="4" t="str">
        <x:v>실제 일정은 운영자 확정</x:v>
      </x:c>
      <x:c r="G27" s="4"/>
      <x:c r="H27" s="10"/>
      <x:c r="I27" s="10"/>
      <x:c r="J27" s="10"/>
      <x:c r="K27" s="10"/>
      <x:c r="L27" s="10"/>
    </x:row>
    <x:row r="28" ht="54" customHeight="1">
      <x:c r="A28" s="4" t="str">
        <x:v>보류</x:v>
      </x:c>
      <x:c r="B28" s="4" t="str">
        <x:v>새 카페 개설</x:v>
      </x:c>
      <x:c r="C28" s="4" t="str">
        <x:v>대형경품·맞팔방</x:v>
      </x:c>
      <x:c r="D28" s="4" t="str">
        <x:v>팔로워 구매</x:v>
      </x:c>
      <x:c r="E28" s="4" t="str">
        <x:v>대량 댓글·DM</x:v>
      </x:c>
      <x:c r="F28" s="4" t="str">
        <x:v>Blogger는 후순위 자료실</x:v>
      </x:c>
      <x:c r="G28" s="4"/>
      <x:c r="H28" s="10"/>
      <x:c r="I28" s="10"/>
      <x:c r="J28" s="10"/>
      <x:c r="K28" s="10"/>
      <x:c r="L28" s="10"/>
    </x:row>
    <x:row r="29" ht="24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 ht="24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24" customHeight="1">
      <x:c r="A31" s="15" t="str">
        <x:v>주차</x:v>
      </x:c>
      <x:c r="B31" s="15" t="str">
        <x:v>IG 계획누적</x:v>
      </x:c>
      <x:c r="C31" s="15" t="str">
        <x:v>이웃 계획누적</x:v>
      </x:c>
      <x:c r="D31" s="15" t="str">
        <x:v>카톡 계획누적</x:v>
      </x:c>
      <x:c r="E31" s="4"/>
      <x:c r="F31" s="4"/>
      <x:c r="G31" s="4"/>
      <x:c r="H31" s="4"/>
      <x:c r="I31" s="4"/>
      <x:c r="J31" s="4"/>
      <x:c r="K31" s="4"/>
      <x:c r="L31" s="4"/>
    </x:row>
    <x:row r="32" ht="24" customHeight="1">
      <x:c r="A32" s="4" t="n">
        <x:f>'주차별_실행'!A6</x:f>
        <x:v>1</x:v>
      </x:c>
      <x:c r="B32" s="4" t="n">
        <x:f>SUM('주차별_실행'!$N$6:N6)</x:f>
        <x:v>20</x:v>
      </x:c>
      <x:c r="C32" s="4" t="n">
        <x:f>SUM('주차별_실행'!$O$6:O6)</x:f>
        <x:v>10</x:v>
      </x:c>
      <x:c r="D32" s="4" t="n">
        <x:f>SUM('주차별_실행'!$P$6:P6)</x:f>
        <x:v>10</x:v>
      </x:c>
      <x:c r="E32" s="4"/>
      <x:c r="F32" s="4"/>
      <x:c r="G32" s="4"/>
      <x:c r="H32" s="4"/>
      <x:c r="I32" s="4"/>
      <x:c r="J32" s="4"/>
      <x:c r="K32" s="4"/>
      <x:c r="L32" s="4"/>
    </x:row>
    <x:row r="33" ht="24" customHeight="1">
      <x:c r="A33" s="4" t="n">
        <x:f>'주차별_실행'!A7</x:f>
        <x:v>2</x:v>
      </x:c>
      <x:c r="B33" s="4" t="n">
        <x:f>SUM('주차별_실행'!$N$6:N7)</x:f>
        <x:v>50</x:v>
      </x:c>
      <x:c r="C33" s="4" t="n">
        <x:f>SUM('주차별_실행'!$O$6:O7)</x:f>
        <x:v>25</x:v>
      </x:c>
      <x:c r="D33" s="4" t="n">
        <x:f>SUM('주차별_실행'!$P$6:P7)</x:f>
        <x:v>30</x:v>
      </x:c>
      <x:c r="E33" s="4"/>
      <x:c r="F33" s="4"/>
      <x:c r="G33" s="4"/>
      <x:c r="H33" s="4"/>
      <x:c r="I33" s="4"/>
      <x:c r="J33" s="4"/>
      <x:c r="K33" s="4"/>
      <x:c r="L33" s="4"/>
    </x:row>
    <x:row r="34" ht="24" customHeight="1">
      <x:c r="A34" s="4" t="n">
        <x:f>'주차별_실행'!A8</x:f>
        <x:v>3</x:v>
      </x:c>
      <x:c r="B34" s="4" t="n">
        <x:f>SUM('주차별_실행'!$N$6:N8)</x:f>
        <x:v>80</x:v>
      </x:c>
      <x:c r="C34" s="4" t="n">
        <x:f>SUM('주차별_실행'!$O$6:O8)</x:f>
        <x:v>35</x:v>
      </x:c>
      <x:c r="D34" s="4" t="n">
        <x:f>SUM('주차별_실행'!$P$6:P8)</x:f>
        <x:v>40</x:v>
      </x:c>
      <x:c r="E34" s="4"/>
      <x:c r="F34" s="4"/>
      <x:c r="G34" s="4"/>
      <x:c r="H34" s="4"/>
      <x:c r="I34" s="4"/>
      <x:c r="J34" s="4"/>
      <x:c r="K34" s="4"/>
      <x:c r="L34" s="4"/>
    </x:row>
    <x:row r="35" ht="24" customHeight="1">
      <x:c r="A35" s="4" t="n">
        <x:f>'주차별_실행'!A9</x:f>
        <x:v>4</x:v>
      </x:c>
      <x:c r="B35" s="4" t="n">
        <x:f>SUM('주차별_실행'!$N$6:N9)</x:f>
        <x:v>140</x:v>
      </x:c>
      <x:c r="C35" s="4" t="n">
        <x:f>SUM('주차별_실행'!$O$6:O9)</x:f>
        <x:v>55</x:v>
      </x:c>
      <x:c r="D35" s="4" t="n">
        <x:f>SUM('주차별_실행'!$P$6:P9)</x:f>
        <x:v>70</x:v>
      </x:c>
      <x:c r="E35" s="4"/>
      <x:c r="F35" s="4"/>
      <x:c r="G35" s="4"/>
      <x:c r="H35" s="4"/>
      <x:c r="I35" s="4"/>
      <x:c r="J35" s="4"/>
      <x:c r="K35" s="4"/>
      <x:c r="L35" s="4"/>
    </x:row>
    <x:row r="36" ht="24" customHeight="1">
      <x:c r="A36" s="4" t="n">
        <x:f>'주차별_실행'!A10</x:f>
        <x:v>5</x:v>
      </x:c>
      <x:c r="B36" s="4" t="n">
        <x:f>SUM('주차별_실행'!$N$6:N10)</x:f>
        <x:v>200</x:v>
      </x:c>
      <x:c r="C36" s="4" t="n">
        <x:f>SUM('주차별_실행'!$O$6:O10)</x:f>
        <x:v>75</x:v>
      </x:c>
      <x:c r="D36" s="4" t="n">
        <x:f>SUM('주차별_실행'!$P$6:P10)</x:f>
        <x:v>100</x:v>
      </x:c>
      <x:c r="E36" s="4"/>
      <x:c r="F36" s="4"/>
      <x:c r="G36" s="4"/>
      <x:c r="H36" s="4"/>
      <x:c r="I36" s="4"/>
      <x:c r="J36" s="4"/>
      <x:c r="K36" s="4"/>
      <x:c r="L36" s="4"/>
    </x:row>
    <x:row r="37" ht="24" customHeight="1">
      <x:c r="A37" s="4" t="n">
        <x:f>'주차별_실행'!A11</x:f>
        <x:v>6</x:v>
      </x:c>
      <x:c r="B37" s="4" t="n">
        <x:f>SUM('주차별_실행'!$N$6:N11)</x:f>
        <x:v>260</x:v>
      </x:c>
      <x:c r="C37" s="4" t="n">
        <x:f>SUM('주차별_실행'!$O$6:O11)</x:f>
        <x:v>95</x:v>
      </x:c>
      <x:c r="D37" s="4" t="n">
        <x:f>SUM('주차별_실행'!$P$6:P11)</x:f>
        <x:v>130</x:v>
      </x:c>
      <x:c r="E37" s="4"/>
      <x:c r="F37" s="4"/>
      <x:c r="G37" s="4"/>
      <x:c r="H37" s="4"/>
      <x:c r="I37" s="4"/>
      <x:c r="J37" s="4"/>
      <x:c r="K37" s="4"/>
      <x:c r="L37" s="4"/>
    </x:row>
    <x:row r="38" ht="24" customHeight="1">
      <x:c r="A38" s="4" t="n">
        <x:f>'주차별_실행'!A12</x:f>
        <x:v>7</x:v>
      </x:c>
      <x:c r="B38" s="4" t="n">
        <x:f>SUM('주차별_실행'!$N$6:N12)</x:f>
        <x:v>330</x:v>
      </x:c>
      <x:c r="C38" s="4" t="n">
        <x:f>SUM('주차별_실행'!$O$6:O12)</x:f>
        <x:v>115</x:v>
      </x:c>
      <x:c r="D38" s="4" t="n">
        <x:f>SUM('주차별_실행'!$P$6:P12)</x:f>
        <x:v>170</x:v>
      </x:c>
      <x:c r="E38" s="4"/>
      <x:c r="F38" s="4"/>
      <x:c r="G38" s="4"/>
      <x:c r="H38" s="4"/>
      <x:c r="I38" s="4"/>
      <x:c r="J38" s="4"/>
      <x:c r="K38" s="4"/>
      <x:c r="L38" s="4"/>
    </x:row>
    <x:row r="39" ht="24" customHeight="1">
      <x:c r="A39" s="4" t="n">
        <x:f>'주차별_실행'!A13</x:f>
        <x:v>8</x:v>
      </x:c>
      <x:c r="B39" s="4" t="n">
        <x:f>SUM('주차별_실행'!$N$6:N13)</x:f>
        <x:v>410</x:v>
      </x:c>
      <x:c r="C39" s="4" t="n">
        <x:f>SUM('주차별_실행'!$O$6:O13)</x:f>
        <x:v>140</x:v>
      </x:c>
      <x:c r="D39" s="4" t="n">
        <x:f>SUM('주차별_실행'!$P$6:P13)</x:f>
        <x:v>220</x:v>
      </x:c>
      <x:c r="E39" s="4"/>
      <x:c r="F39" s="4"/>
      <x:c r="G39" s="4"/>
      <x:c r="H39" s="4"/>
      <x:c r="I39" s="4"/>
      <x:c r="J39" s="4"/>
      <x:c r="K39" s="4"/>
      <x:c r="L39" s="4"/>
    </x:row>
    <x:row r="40" ht="24" customHeight="1">
      <x:c r="A40" s="4" t="n">
        <x:f>'주차별_실행'!A14</x:f>
        <x:v>9</x:v>
      </x:c>
      <x:c r="B40" s="4" t="n">
        <x:f>SUM('주차별_실행'!$N$6:N14)</x:f>
        <x:v>490</x:v>
      </x:c>
      <x:c r="C40" s="4" t="n">
        <x:f>SUM('주차별_실행'!$O$6:O14)</x:f>
        <x:v>165</x:v>
      </x:c>
      <x:c r="D40" s="4" t="n">
        <x:f>SUM('주차별_실행'!$P$6:P14)</x:f>
        <x:v>260</x:v>
      </x:c>
      <x:c r="E40" s="4"/>
      <x:c r="F40" s="4"/>
      <x:c r="G40" s="4"/>
      <x:c r="H40" s="4"/>
      <x:c r="I40" s="4"/>
      <x:c r="J40" s="4"/>
      <x:c r="K40" s="4"/>
      <x:c r="L40" s="4"/>
    </x:row>
    <x:row r="41" ht="24" customHeight="1">
      <x:c r="A41" s="4" t="n">
        <x:f>'주차별_실행'!A15</x:f>
        <x:v>10</x:v>
      </x:c>
      <x:c r="B41" s="4" t="n">
        <x:f>SUM('주차별_실행'!$N$6:N15)</x:f>
        <x:v>580</x:v>
      </x:c>
      <x:c r="C41" s="4" t="n">
        <x:f>SUM('주차별_실행'!$O$6:O15)</x:f>
        <x:v>190</x:v>
      </x:c>
      <x:c r="D41" s="4" t="n">
        <x:f>SUM('주차별_실행'!$P$6:P15)</x:f>
        <x:v>300</x:v>
      </x:c>
      <x:c r="E41" s="4"/>
      <x:c r="F41" s="4"/>
      <x:c r="G41" s="4"/>
      <x:c r="H41" s="4"/>
      <x:c r="I41" s="4"/>
      <x:c r="J41" s="4"/>
      <x:c r="K41" s="4"/>
      <x:c r="L41" s="4"/>
    </x:row>
    <x:row r="42" ht="24" customHeight="1">
      <x:c r="A42" s="4" t="n">
        <x:f>'주차별_실행'!A16</x:f>
        <x:v>11</x:v>
      </x:c>
      <x:c r="B42" s="4" t="n">
        <x:f>SUM('주차별_실행'!$N$6:N16)</x:f>
        <x:v>680</x:v>
      </x:c>
      <x:c r="C42" s="4" t="n">
        <x:f>SUM('주차별_실행'!$O$6:O16)</x:f>
        <x:v>215</x:v>
      </x:c>
      <x:c r="D42" s="4" t="n">
        <x:f>SUM('주차별_실행'!$P$6:P16)</x:f>
        <x:v>350</x:v>
      </x:c>
      <x:c r="E42" s="4"/>
      <x:c r="F42" s="4"/>
      <x:c r="G42" s="4"/>
      <x:c r="H42" s="4"/>
      <x:c r="I42" s="4"/>
      <x:c r="J42" s="4"/>
      <x:c r="K42" s="4"/>
      <x:c r="L42" s="4"/>
    </x:row>
    <x:row r="43" ht="24" customHeight="1">
      <x:c r="A43" s="4" t="n">
        <x:f>'주차별_실행'!A17</x:f>
        <x:v>12</x:v>
      </x:c>
      <x:c r="B43" s="4" t="n">
        <x:f>SUM('주차별_실행'!$N$6:N17)</x:f>
        <x:v>780</x:v>
      </x:c>
      <x:c r="C43" s="4" t="n">
        <x:f>SUM('주차별_실행'!$O$6:O17)</x:f>
        <x:v>240</x:v>
      </x:c>
      <x:c r="D43" s="4" t="n">
        <x:f>SUM('주차별_실행'!$P$6:P17)</x:f>
        <x:v>400</x:v>
      </x:c>
      <x:c r="E43" s="4"/>
      <x:c r="F43" s="4"/>
      <x:c r="G43" s="4"/>
      <x:c r="H43" s="4"/>
      <x:c r="I43" s="4"/>
      <x:c r="J43" s="4"/>
      <x:c r="K43" s="4"/>
      <x:c r="L43" s="4"/>
    </x:row>
    <x:row r="44" ht="24" customHeight="1">
      <x:c r="A44" s="4" t="n">
        <x:f>'주차별_실행'!A18</x:f>
        <x:v>13</x:v>
      </x:c>
      <x:c r="B44" s="4" t="n">
        <x:f>SUM('주차별_실행'!$N$6:N18)</x:f>
        <x:v>870</x:v>
      </x:c>
      <x:c r="C44" s="4" t="n">
        <x:f>SUM('주차별_실행'!$O$6:O18)</x:f>
        <x:v>265</x:v>
      </x:c>
      <x:c r="D44" s="4" t="n">
        <x:f>SUM('주차별_실행'!$P$6:P18)</x:f>
        <x:v>440</x:v>
      </x:c>
      <x:c r="E44" s="4"/>
      <x:c r="F44" s="4"/>
      <x:c r="G44" s="4"/>
      <x:c r="H44" s="4"/>
      <x:c r="I44" s="4"/>
      <x:c r="J44" s="4"/>
      <x:c r="K44" s="4"/>
      <x:c r="L44" s="4"/>
    </x:row>
    <x:row r="45" ht="24" customHeight="1">
      <x:c r="A45" s="4" t="n">
        <x:f>'주차별_실행'!A19</x:f>
        <x:v>14</x:v>
      </x:c>
      <x:c r="B45" s="4" t="n">
        <x:f>SUM('주차별_실행'!$N$6:N19)</x:f>
        <x:v>960</x:v>
      </x:c>
      <x:c r="C45" s="4" t="n">
        <x:f>SUM('주차별_실행'!$O$6:O19)</x:f>
        <x:v>290</x:v>
      </x:c>
      <x:c r="D45" s="4" t="n">
        <x:f>SUM('주차별_실행'!$P$6:P19)</x:f>
        <x:v>480</x:v>
      </x:c>
      <x:c r="E45" s="4"/>
      <x:c r="F45" s="4"/>
      <x:c r="G45" s="4"/>
      <x:c r="H45" s="4"/>
      <x:c r="I45" s="4"/>
      <x:c r="J45" s="4"/>
      <x:c r="K45" s="4"/>
      <x:c r="L45" s="4"/>
    </x:row>
    <x:row r="46" ht="24" customHeight="1">
      <x:c r="A46" s="4" t="n">
        <x:f>'주차별_실행'!A20</x:f>
        <x:v>15</x:v>
      </x:c>
      <x:c r="B46" s="4" t="n">
        <x:f>SUM('주차별_실행'!$N$6:N20)</x:f>
        <x:v>1000</x:v>
      </x:c>
      <x:c r="C46" s="4" t="n">
        <x:f>SUM('주차별_실행'!$O$6:O20)</x:f>
        <x:v>300</x:v>
      </x:c>
      <x:c r="D46" s="4" t="n">
        <x:f>SUM('주차별_실행'!$P$6:P20)</x:f>
        <x:v>500</x:v>
      </x:c>
      <x:c r="E46" s="4"/>
      <x:c r="F46" s="4"/>
      <x:c r="G46" s="4"/>
      <x:c r="H46" s="4"/>
      <x:c r="I46" s="4"/>
      <x:c r="J46" s="4"/>
      <x:c r="K46" s="4"/>
      <x:c r="L46" s="4"/>
    </x:row>
    <x:row r="47" ht="24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 ht="24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 ht="24" customHeight="1">
      <x:c r="A49" s="10" t="str">
        <x:v>시트 안내: 주차별_실행 → 100일_체크리스트 → 콘텐츠_주제 → 광고_예산 → 성과_기록 → 제휴_관리 → 문구_템플릿 → 근거_출처
일정은 실행 제안이며 게시·광고·캘린더 등록은 수행하지 않았습니다. 원본 수업 자료·체험 정책·개인 계정의 실제 독자 규모에 맞게 조정하십시오.</x:v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</x:row>
    <x:row r="50" ht="24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</x:row>
    <x:row r="51" ht="24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</x:row>
  </x:sheetData>
  <x:mergeCells>
    <x:mergeCell ref="A1:L1"/>
    <x:mergeCell ref="A2:L3"/>
    <x:mergeCell ref="A4:C4"/>
    <x:mergeCell ref="E4:H4"/>
    <x:mergeCell ref="J4:L4"/>
    <x:mergeCell ref="J5:L6"/>
    <x:mergeCell ref="J7:L8"/>
    <x:mergeCell ref="J9:L10"/>
    <x:mergeCell ref="J11:L12"/>
    <x:mergeCell ref="A14:L14"/>
    <x:mergeCell ref="H16:L19"/>
    <x:mergeCell ref="A21:L21"/>
    <x:mergeCell ref="H23:L28"/>
    <x:mergeCell ref="A49:L51"/>
  </x:mergeCells>
  <x:pageMargins left="0.7" right="0.7" top="0.75" bottom="0.75" header="0.3" footer="0.3"/>
  <x:drawing xmlns:r="http://schemas.openxmlformats.org/officeDocument/2006/relationships" r:id="R7c92843a957e4d22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0" customHeight="1">
      <x:c r="A1" s="7" t="str">
        <x:v>100일 | 주차별 성장 실행안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 ht="26" customHeight="1">
      <x:c r="A2" s="11" t="str">
        <x:v>기본 세팅 완료를 전제로 한 제안. 순증 목표는 검증된 예측이 아닌 임시 도전목표이며 2주 실적으로 수정. 예산은 승인·집행이 아닌 지출상한.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38" customHeight="1">
      <x:c r="A5" s="15" t="str">
        <x:v>주차</x:v>
      </x:c>
      <x:c r="B5" s="15" t="str">
        <x:v>시작</x:v>
      </x:c>
      <x:c r="C5" s="15" t="str">
        <x:v>종료</x:v>
      </x:c>
      <x:c r="D5" s="15" t="str">
        <x:v>중심 주제</x:v>
      </x:c>
      <x:c r="E5" s="15" t="str">
        <x:v>블로그 제목</x:v>
      </x:c>
      <x:c r="F5" s="15" t="str">
        <x:v>릴스 3개 주제</x:v>
      </x:c>
      <x:c r="G5" s="15" t="str">
        <x:v>자료·산출물</x:v>
      </x:c>
      <x:c r="H5" s="15" t="str">
        <x:v>게시 외 성장 활동</x:v>
      </x:c>
      <x:c r="I5" s="15" t="str">
        <x:v>제휴 활동</x:v>
      </x:c>
      <x:c r="J5" s="15" t="str">
        <x:v>카카오 운영</x:v>
      </x:c>
      <x:c r="K5" s="15" t="str">
        <x:v>광고 실험</x:v>
      </x:c>
      <x:c r="L5" s="15" t="str">
        <x:v>행사 제안</x:v>
      </x:c>
      <x:c r="M5" s="15" t="str">
        <x:v>검토·완료 기준</x:v>
      </x:c>
      <x:c r="N5" s="15" t="str">
        <x:v>IG 목표순증</x:v>
      </x:c>
      <x:c r="O5" s="15" t="str">
        <x:v>이웃 목표순증</x:v>
      </x:c>
      <x:c r="P5" s="15" t="str">
        <x:v>카톡 목표순증</x:v>
      </x:c>
      <x:c r="Q5" s="15" t="str">
        <x:v>지출상한(원)</x:v>
      </x:c>
      <x:c r="R5" s="15" t="str">
        <x:v>상태</x:v>
      </x:c>
    </x:row>
    <x:row r="6" ht="125" customHeight="1">
      <x:c r="A6" s="18" t="n">
        <x:v>1</x:v>
      </x:c>
      <x:c r="B6" s="20" t="n">
        <x:v>46273</x:v>
      </x:c>
      <x:c r="C6" s="20" t="n">
        <x:v>46279</x:v>
      </x:c>
      <x:c r="D6" s="18" t="str">
        <x:v>첫 방문자가 팔로우할 이유</x:v>
      </x:c>
      <x:c r="E6" s="18" t="str">
        <x:v>스스로 공부한다는 것은 혼자 내버려둔다는 뜻이 아닙니다
메타센스 첫날: 접속부터 질문·피드백까지</x:v>
      </x:c>
      <x:c r="F6" s="18" t="str">
        <x:v>시키지 않으면 안 하는 공부, 무엇부터 바꿀까요?
학습 화면 30초 투어
수학감각을 직접 만들게 된 이유</x:v>
      </x:c>
      <x:c r="G6" s="18" t="str">
        <x:v>기존 대표글 점검·3채널 연결·과정별 첫 행동</x:v>
      </x:c>
      <x:c r="H6" s="18" t="str">
        <x:v>관련 공개 계정·블로그 40곳과 제휴 후보 20곳 정리. 공개 개인 채널 1회 소개. 상담 중인 기존 학부모에게 필요한 경우 공식 채널 안내.</x:v>
      </x:c>
      <x:c r="I6" s="18" t="str">
        <x:v>협업을 받는 공식 창구 5곳에 자료 공동제작 제안. 고객 명단 수집·콜드DM 금지.</x:v>
      </x:c>
      <x:c r="J6" s="18" t="str">
        <x:v>친구추가·첫채팅 구분 점검. 수학/파이썬/고전·검토/체험/수강 구분.</x:v>
      </x:c>
      <x:c r="K6" s="18" t="str">
        <x:v>광고 집행 전 추적 링크·신청 화면 3기기 점검. 비용은 테스트·자료 제작 상한.</x:v>
      </x:c>
      <x:c r="L6" s="18" t="str">
        <x:v>없음</x:v>
      </x:c>
      <x:c r="M6" s="18" t="str">
        <x:v>현재 팔로워·나를추가한이웃·카톡친구를 직접 기록. 링크 오류 0개.</x:v>
      </x:c>
      <x:c r="N6" s="18" t="n">
        <x:v>20</x:v>
      </x:c>
      <x:c r="O6" s="18" t="n">
        <x:v>10</x:v>
      </x:c>
      <x:c r="P6" s="18" t="n">
        <x:v>10</x:v>
      </x:c>
      <x:c r="Q6" s="26" t="n">
        <x:v>50000</x:v>
      </x:c>
      <x:c r="R6" s="22" t="str">
        <x:v>미착수</x:v>
      </x:c>
    </x:row>
    <x:row r="7" ht="125" customHeight="1">
      <x:c r="A7" s="18" t="n">
        <x:v>2</x:v>
      </x:c>
      <x:c r="B7" s="20" t="n">
        <x:v>46280</x:v>
      </x:c>
      <x:c r="C7" s="20" t="n">
        <x:v>46286</x:v>
      </x:c>
      <x:c r="D7" s="18" t="str">
        <x:v>초등수학 개념 확인 자료</x:v>
      </x:c>
      <x:c r="E7" s="18" t="str">
        <x:v>초등 나눗셈, 답은 맞는데 원리를 모를 때 확인할 질문
초등 문장제에서 막히는 이유를 살펴보는 3가지 질문</x:v>
      </x:c>
      <x:c r="F7" s="18" t="str">
        <x:v>24÷6, 답 말고 그림을 부탁해 보세요
문장제를 읽고 첫 번째로 할 일
틀린 답에서 확인할 수 있는 것</x:v>
      </x:c>
      <x:c r="G7" s="18" t="str">
        <x:v>수학 개념 확인 질문 5개와 기록지: 샘플 공개·전체 자료 요청</x:v>
      </x:c>
      <x:c r="H7" s="18" t="str">
        <x:v>샘플 글 끝에 다음 편 예고와 이웃추가 안내. 인스타 스토리 투표 후 요청한 사람에게만 자료 응답.</x:v>
      </x:c>
      <x:c r="I7" s="18" t="str">
        <x:v>제휴 후보 5곳에 개별 제안. 1곳과 다음 주 배포·표기·연결 합의.</x:v>
      </x:c>
      <x:c r="J7" s="18" t="str">
        <x:v>‘수학질문’으로 요청 시 자료 1회 안내. 광고 수신동의는 별도·선택.</x:v>
      </x:c>
      <x:c r="K7" s="18" t="str">
        <x:v>인스타 프로필 방문: 원리 시연 vs 부모 질문, 광고 소재 2개. 세트 1개.</x:v>
      </x:c>
      <x:c r="L7" s="18" t="str">
        <x:v>없음</x:v>
      </x:c>
      <x:c r="M7" s="18" t="str">
        <x:v>자료 요청 경로별 수·프로필 방문·순증을 기록. 광고 팔로워 순증의 인과 해석 금지.</x:v>
      </x:c>
      <x:c r="N7" s="18" t="n">
        <x:v>30</x:v>
      </x:c>
      <x:c r="O7" s="18" t="n">
        <x:v>15</x:v>
      </x:c>
      <x:c r="P7" s="18" t="n">
        <x:v>20</x:v>
      </x:c>
      <x:c r="Q7" s="26" t="n">
        <x:v>120000</x:v>
      </x:c>
      <x:c r="R7" s="22" t="str">
        <x:v>미착수</x:v>
      </x:c>
    </x:row>
    <x:row r="8" ht="125" customHeight="1">
      <x:c r="A8" s="18" t="n">
        <x:v>3</x:v>
      </x:c>
      <x:c r="B8" s="20" t="n">
        <x:v>46287</x:v>
      </x:c>
      <x:c r="C8" s="20" t="n">
        <x:v>46293</x:v>
      </x:c>
      <x:c r="D8" s="18" t="str">
        <x:v>추석 가족 대화와 자연스러운 소개</x:v>
      </x:c>
      <x:c r="E8" s="18" t="str">
        <x:v>연휴에 공부 잔소리 대신 건넬 수학 대화 질문
친구에게 메타센스를 소개할 때 먼저 알려줄 체험 조건</x:v>
      </x:c>
      <x:c r="F8" s="18" t="str">
        <x:v>가족끼리 풀어보는 나눗셈 이야기
아이 설명을 끊지 않는 후속 질문
메타센스 체험: 일반 신청과 친구 초대의 차이</x:v>
      </x:c>
      <x:c r="G8" s="18" t="str">
        <x:v>부모용 소개 카드 1장·학생용 초대 카드 1장</x:v>
      </x:c>
      <x:c r="H8" s="18" t="str">
        <x:v>9/24~26 추석은 예약 발행·자발 공유 중심. 기존 학부모에게 공유 의무 없이 안내. 3채널 인증 요구 금지.</x:v>
      </x:c>
      <x:c r="I8" s="18" t="str">
        <x:v>협력처 1곳에 합의한 자료 제공. 연휴 중 신규 영업 제안은 쉬고 9/28 응답 확인.</x:v>
      </x:c>
      <x:c r="J8" s="18" t="str">
        <x:v>친구 초대 1개월과 일반 1주 체험의 조건·대상 분리. 자동 결제 없음은 실제 정책과 일치.</x:v>
      </x:c>
      <x:c r="K8" s="18" t="str">
        <x:v>효율 확인된 인스타 소재만 유지하거나 중단. 연휴라고 무조건 증액하지 않음.</x:v>
      </x:c>
      <x:c r="L8" s="18" t="str">
        <x:v>9/24~26 추석: 신규 상담 약속·광고 발송 최소화</x:v>
      </x:c>
      <x:c r="M8" s="18" t="str">
        <x:v>공유 링크별 방문·친구추가·첫학습을 분리. 연휴 표본을 일반 주와 단정 비교하지 않음.</x:v>
      </x:c>
      <x:c r="N8" s="18" t="n">
        <x:v>30</x:v>
      </x:c>
      <x:c r="O8" s="18" t="n">
        <x:v>10</x:v>
      </x:c>
      <x:c r="P8" s="18" t="n">
        <x:v>10</x:v>
      </x:c>
      <x:c r="Q8" s="26" t="n">
        <x:v>80000</x:v>
      </x:c>
      <x:c r="R8" s="22" t="str">
        <x:v>미착수</x:v>
      </x:c>
    </x:row>
    <x:row r="9" ht="125" customHeight="1">
      <x:c r="A9" s="18" t="n">
        <x:v>4</x:v>
      </x:c>
      <x:c r="B9" s="20" t="n">
        <x:v>46294</x:v>
      </x:c>
      <x:c r="C9" s="20" t="n">
        <x:v>46300</x:v>
      </x:c>
      <x:c r="D9" s="18" t="str">
        <x:v>첫 공동 설명회로 접점 확대</x:v>
      </x:c>
      <x:c r="E9" s="18" t="str">
        <x:v>초등수학 온라인 수업, 체험할 때 확인할 5가지
학부모 질문 모음: 부모는 옆에서 얼마나 도와야 하나요?</x:v>
      </x:c>
      <x:c r="F9" s="18" t="str">
        <x:v>부모가 계속 옆에 있어야 할까요?
메타센스에서 막혔을 때 도움받는 장면
무료 설명회에서 직접 확인할 것</x:v>
      </x:c>
      <x:c r="G9" s="18" t="str">
        <x:v>40분 설명회 자료·신청 페이지·질문 수집</x:v>
      </x:c>
      <x:c r="H9" s="18" t="str">
        <x:v>행사 7일 전/3일 전 공개 안내. 관심 표시·신청자에게만 필요한 알림. 참석 후 자발 채널추가 제안.</x:v>
      </x:c>
      <x:c r="I9" s="18" t="str">
        <x:v>협력 커뮤니티 1곳에서 승인된 안내 게시. 협업 상대와 공동 게시물 1개.</x:v>
      </x:c>
      <x:c r="J9" s="18" t="str">
        <x:v>설명회 질문 접수·신청 확인. 홍보 일괄메시지는 기간 내 1회, 수신조건 확인.</x:v>
      </x:c>
      <x:c r="K9" s="18" t="str">
        <x:v>네이버 키워드 후보 10개 확인. 파워컨텐츠 승인 가능 시 시험, 불가 시 파워링크로 실제 체험 페이지 연결.</x:v>
      </x:c>
      <x:c r="L9" s="18" t="str">
        <x:v>10/1(목) 20:00 제안: 초등수학 수업 선택 설명회 40분</x:v>
      </x:c>
      <x:c r="M9" s="18" t="str">
        <x:v>10/1 설명회 목표 15명 신청. 참석·자료요청·채널추가 구분. 협업 실패 시 자체 세션.</x:v>
      </x:c>
      <x:c r="N9" s="18" t="n">
        <x:v>60</x:v>
      </x:c>
      <x:c r="O9" s="18" t="n">
        <x:v>20</x:v>
      </x:c>
      <x:c r="P9" s="18" t="n">
        <x:v>30</x:v>
      </x:c>
      <x:c r="Q9" s="26" t="n">
        <x:v>220000</x:v>
      </x:c>
      <x:c r="R9" s="22" t="str">
        <x:v>미착수</x:v>
      </x:c>
    </x:row>
    <x:row r="10" ht="125" customHeight="1">
      <x:c r="A10" s="18" t="n">
        <x:v>5</x:v>
      </x:c>
      <x:c r="B10" s="20" t="n">
        <x:v>46301</x:v>
      </x:c>
      <x:c r="C10" s="20" t="n">
        <x:v>46307</x:v>
      </x:c>
      <x:c r="D10" s="18" t="str">
        <x:v>파이썬 입문 수요 검증</x:v>
      </x:c>
      <x:c r="E10" s="18" t="str">
        <x:v>스크래치 다음 파이썬, 준비 상태를 살펴보는 질문
초등학생 파이썬 수업: 복사하기와 직접 만들기의 차이</x:v>
      </x:c>
      <x:c r="F10" s="18" t="str">
        <x:v>블록코딩을 했으면 바로 파이썬을 시작해도 될까요?
코드 한 줄을 바꾸면 생기는 일
오류가 나면 학습은 끝일까요?</x:v>
      </x:c>
      <x:c r="G10" s="18" t="str">
        <x:v>파이썬 시작 로드맵·기기 준비표</x:v>
      </x:c>
      <x:c r="H10" s="18" t="str">
        <x:v>수학과 파이썬 게시물의 자료요청·팔로우 반응 비교. 과목별 다음 편 약속을 달리함.</x:v>
      </x:c>
      <x:c r="I10" s="18" t="str">
        <x:v>코딩·홈스쿨·교육 계정 5곳 제안. 공동 영상 1개 발행 목표.</x:v>
      </x:c>
      <x:c r="J10" s="18" t="str">
        <x:v>‘파이썬시작’ 요청 응답. 관심 없는 수학 학부모에게 일괄 반복 발송하지 않음.</x:v>
      </x:c>
      <x:c r="K10" s="18" t="str">
        <x:v>네이버 의도형 검색어와 인스타 입문 영상 2개만 비교. 성별은 부모 전체로 시작.</x:v>
      </x:c>
      <x:c r="L10" s="18" t="str">
        <x:v>없음</x:v>
      </x:c>
      <x:c r="M10" s="18" t="str">
        <x:v>수학/파이썬 자료요청당 비용과 첫학습률 비교. 낮은 조회만으로 과목 폐기 금지.</x:v>
      </x:c>
      <x:c r="N10" s="18" t="n">
        <x:v>60</x:v>
      </x:c>
      <x:c r="O10" s="18" t="n">
        <x:v>20</x:v>
      </x:c>
      <x:c r="P10" s="18" t="n">
        <x:v>30</x:v>
      </x:c>
      <x:c r="Q10" s="26" t="n">
        <x:v>220000</x:v>
      </x:c>
      <x:c r="R10" s="22" t="str">
        <x:v>미착수</x:v>
      </x:c>
    </x:row>
    <x:row r="11" ht="125" customHeight="1">
      <x:c r="A11" s="18" t="n">
        <x:v>6</x:v>
      </x:c>
      <x:c r="B11" s="20" t="n">
        <x:v>46308</x:v>
      </x:c>
      <x:c r="C11" s="20" t="n">
        <x:v>46314</x:v>
      </x:c>
      <x:c r="D11" s="18" t="str">
        <x:v>고전읽기·질문 교육으로 접점 넓히기</x:v>
      </x:c>
      <x:c r="E11" s="18" t="str">
        <x:v>책을 읽고 재미있었어로 끝날 때 이어갈 질문
고전읽기 수업의 대상과 실제 진행 방식</x:v>
      </x:c>
      <x:c r="F11" s="18" t="str">
        <x:v>정답 없는 질문을 만드는 법
책 한 문장에서 대화 시작하기
고전읽기는 요약을 외우는 수업일까요?</x:v>
      </x:c>
      <x:c r="G11" s="18" t="str">
        <x:v>독서 대화 질문표·학생/성인 대상 구분 안내</x:v>
      </x:c>
      <x:c r="H11" s="18" t="str">
        <x:v>독서·홈스쿨 공개 커뮤니티의 실제 질문에 답하기. 학생 과정과 성인 세미나 모집 분리.</x:v>
      </x:c>
      <x:c r="I11" s="18" t="str">
        <x:v>독서모임·작은서점 등 공개 제휴창구 5곳. 단독 홍보보다 질문표·공동 대화 제안.</x:v>
      </x:c>
      <x:c r="J11" s="18" t="str">
        <x:v>수학·파이썬·고전 관심 그룹 확인. 질문표 요청으로 신규 첫채팅 유도.</x:v>
      </x:c>
      <x:c r="K11" s="18" t="str">
        <x:v>카카오 채널추가 최적화 첫 시험 7일. 인스타 또는 네이버 하나는 쉬어 동시 매체 2개 이하.</x:v>
      </x:c>
      <x:c r="L11" s="18" t="str">
        <x:v>없음</x:v>
      </x:c>
      <x:c r="M11" s="18" t="str">
        <x:v>카카오 광고 채널추가와 첫채팅·자료열람을 함께 확인. 성인 독서 관심자를 아동수요로 계산하지 않음.</x:v>
      </x:c>
      <x:c r="N11" s="18" t="n">
        <x:v>60</x:v>
      </x:c>
      <x:c r="O11" s="18" t="n">
        <x:v>20</x:v>
      </x:c>
      <x:c r="P11" s="18" t="n">
        <x:v>30</x:v>
      </x:c>
      <x:c r="Q11" s="26" t="n">
        <x:v>180000</x:v>
      </x:c>
      <x:c r="R11" s="22" t="str">
        <x:v>미착수</x:v>
      </x:c>
    </x:row>
    <x:row r="12" ht="125" customHeight="1">
      <x:c r="A12" s="18" t="n">
        <x:v>7</x:v>
      </x:c>
      <x:c r="B12" s="20" t="n">
        <x:v>46315</x:v>
      </x:c>
      <x:c r="C12" s="20" t="n">
        <x:v>46321</x:v>
      </x:c>
      <x:c r="D12" s="18" t="str">
        <x:v>두 번째 설명회와 실제 피드백</x:v>
      </x:c>
      <x:c r="E12" s="18" t="str">
        <x:v>아이가 같은 문제를 다시 틀릴 때 확인할 것
파이썬 첫 작품을 만들며 배우는 오류 수정</x:v>
      </x:c>
      <x:c r="F12" s="18" t="str">
        <x:v>피드백 전과 후: 달라진 풀이 한 줄
작동하지 않는 코드를 같이 읽어봅니다
첫 체험에서 무엇을 관찰하면 좋을까요?</x:v>
      </x:c>
      <x:c r="G12" s="18" t="str">
        <x:v>익명화·공개 동의된 피드백 예시 또는 교사 재현 자료</x:v>
      </x:c>
      <x:c r="H12" s="18" t="str">
        <x:v>10/22 파이썬 설명회 초대. 1회차 질문자를 무단 재홍보하지 않고 선택 구독자에게 안내.</x:v>
      </x:c>
      <x:c r="I12" s="18" t="str">
        <x:v>코딩 계정과 공동게시 1개. 체험 협업은 솔직한 평가·대가 공개·긍정후기 강요 금지.</x:v>
      </x:c>
      <x:c r="J12" s="18" t="str">
        <x:v>체험 시작 문제 응대. 일반 홍보메시지 1회; 신청 안내와 분리.</x:v>
      </x:c>
      <x:c r="K12" s="18" t="str">
        <x:v>지난 실험 중 우수 2경로만 유지. 최근 14일 결과와 상담 품질 확인.</x:v>
      </x:c>
      <x:c r="L12" s="18" t="str">
        <x:v>10/22(목) 20:00 제안: 블록코딩 다음 파이썬 설명회 40분</x:v>
      </x:c>
      <x:c r="M12" s="18" t="str">
        <x:v>설명회 신청 목표 20명. 실제 참가자의 첫학습과 주제별 유효 문의 확인.</x:v>
      </x:c>
      <x:c r="N12" s="18" t="n">
        <x:v>70</x:v>
      </x:c>
      <x:c r="O12" s="18" t="n">
        <x:v>20</x:v>
      </x:c>
      <x:c r="P12" s="18" t="n">
        <x:v>40</x:v>
      </x:c>
      <x:c r="Q12" s="26" t="n">
        <x:v>200000</x:v>
      </x:c>
      <x:c r="R12" s="22" t="str">
        <x:v>미착수</x:v>
      </x:c>
    </x:row>
    <x:row r="13" ht="125" customHeight="1">
      <x:c r="A13" s="18" t="n">
        <x:v>8</x:v>
      </x:c>
      <x:c r="B13" s="20" t="n">
        <x:v>46322</x:v>
      </x:c>
      <x:c r="C13" s="20" t="n">
        <x:v>46328</x:v>
      </x:c>
      <x:c r="D13" s="18" t="str">
        <x:v>7일 설명하기 참여 캠페인</x:v>
      </x:c>
      <x:c r="E13" s="18" t="str">
        <x:v>하루 한 문제, 답 대신 설명을 남기는 7일 활동
집에서 실천하는 7일 설명하기: 참여 방법과 질문 모음</x:v>
      </x:c>
      <x:c r="F13" s="18" t="str">
        <x:v>설명하기 1일차: 그림으로 보여주세요
설명하기 중간: 막혀도 괜찮은 질문
설명하기 마지막: 처음과 비교해 볼 것</x:v>
      </x:c>
      <x:c r="G13" s="18" t="str">
        <x:v>7개 짧은 활동·익명 참여기록·종료 회고</x:v>
      </x:c>
      <x:c r="H13" s="18" t="str">
        <x:v>10/27~11/2 실행. 참여는 보호자 중심; 공개 인증·학생 얼굴·친구 태그 의무 없음. 공유는 자율.</x:v>
      </x:c>
      <x:c r="I13" s="18" t="str">
        <x:v>2개 협력처가 같은 활동표를 소개하도록 제안. 팔로우 품앗이가 아니라 자료 공동제공.</x:v>
      </x:c>
      <x:c r="J13" s="18" t="str">
        <x:v>매일 7건 광고를 보내지 않음. 채널소식·블로그에 일별 활동을 미리 게시, 동의한 서비스 알림만 별도.</x:v>
      </x:c>
      <x:c r="K13" s="18" t="str">
        <x:v>7일 활동 신청과 카카오 자료요청 중 이탈 적은 경로에 집중. 실제 운영 가능 인원 내 모집.</x:v>
      </x:c>
      <x:c r="L13" s="18" t="str">
        <x:v>10/27~11/2 7일 설명하기</x:v>
      </x:c>
      <x:c r="M13" s="18" t="str">
        <x:v>참여 목표 30가정은 계획 가정. 첫활동·3일참여·완료를 각각 기록, 완료효과 과장 금지.</x:v>
      </x:c>
      <x:c r="N13" s="18" t="n">
        <x:v>80</x:v>
      </x:c>
      <x:c r="O13" s="18" t="n">
        <x:v>25</x:v>
      </x:c>
      <x:c r="P13" s="18" t="n">
        <x:v>50</x:v>
      </x:c>
      <x:c r="Q13" s="26" t="n">
        <x:v>250000</x:v>
      </x:c>
      <x:c r="R13" s="22" t="str">
        <x:v>미착수</x:v>
      </x:c>
    </x:row>
    <x:row r="14" ht="125" customHeight="1">
      <x:c r="A14" s="18" t="n">
        <x:v>9</x:v>
      </x:c>
      <x:c r="B14" s="20" t="n">
        <x:v>46329</x:v>
      </x:c>
      <x:c r="C14" s="20" t="n">
        <x:v>46335</x:v>
      </x:c>
      <x:c r="D14" s="18" t="str">
        <x:v>결과와 미완료 이유로 신뢰 만들기</x:v>
      </x:c>
      <x:c r="E14" s="18" t="str">
        <x:v>7일 설명하기에서 나온 질문과 운영자의 관찰
시작했지만 이어가지 못한 이유: 다음에는 이렇게 바꿉니다</x:v>
      </x:c>
      <x:c r="F14" s="18" t="str">
        <x:v>가장 많이 나온 질문 1개
실제 참여 기록에서 확인한 작은 변화
활동을 못 마쳐도 남길 수 있는 것</x:v>
      </x:c>
      <x:c r="G14" s="18" t="str">
        <x:v>자발 공개 동의 받은 기록 3건; 부족하면 교사 예시로 명시</x:v>
      </x:c>
      <x:c r="H14" s="18" t="str">
        <x:v>참여 가정에 재배포 허락 요청. 공개 여부와 다음 체험 혜택을 연계하지 않음.</x:v>
      </x:c>
      <x:c r="I14" s="18" t="str">
        <x:v>잘 맞았던 협력처와 2차 공동 콘텐츠. 새 후보 5곳에는 결과의 한계까지 포함.</x:v>
      </x:c>
      <x:c r="J14" s="18" t="str">
        <x:v>참여자 질문에 개별 응답, 관심 그룹별 안내. 신규 친구 7일 차단·첫채팅 수준 확인.</x:v>
      </x:c>
      <x:c r="K14" s="18" t="str">
        <x:v>참여자 사례 소재와 교사 시연 소재 비교. 본인 허락 없는 사례 광고 사용 금지.</x:v>
      </x:c>
      <x:c r="L14" s="18" t="str">
        <x:v>없음</x:v>
      </x:c>
      <x:c r="M14" s="18" t="str">
        <x:v>등록건뿐 아니라 미완료 사유를 적어 신청 동선 수정. 큰 행사보다 후속 관리 우선.</x:v>
      </x:c>
      <x:c r="N14" s="18" t="n">
        <x:v>80</x:v>
      </x:c>
      <x:c r="O14" s="18" t="n">
        <x:v>25</x:v>
      </x:c>
      <x:c r="P14" s="18" t="n">
        <x:v>40</x:v>
      </x:c>
      <x:c r="Q14" s="26" t="n">
        <x:v>200000</x:v>
      </x:c>
      <x:c r="R14" s="22" t="str">
        <x:v>미착수</x:v>
      </x:c>
    </x:row>
    <x:row r="15" ht="125" customHeight="1">
      <x:c r="A15" s="18" t="n">
        <x:v>10</x:v>
      </x:c>
      <x:c r="B15" s="20" t="n">
        <x:v>46336</x:v>
      </x:c>
      <x:c r="C15" s="20" t="n">
        <x:v>46342</x:v>
      </x:c>
      <x:c r="D15" s="18" t="str">
        <x:v>자기주도학습을 생활 구조로 설명</x:v>
      </x:c>
      <x:c r="E15" s="18" t="str">
        <x:v>공부 계획표를 지키지 못할 때 계획을 줄이는 방법
스스로 공부하는 아이를 돕는 부모의 질문</x:v>
      </x:c>
      <x:c r="F15" s="18" t="str">
        <x:v>오늘 할 일을 하나만 고른다면?
부모가 먼저 답을 말하지 않으려면
기록에서 다음 할 일을 찾는 장면</x:v>
      </x:c>
      <x:c r="G15" s="18" t="str">
        <x:v>한 주 계획·회고표와 보호자 질문표</x:v>
      </x:c>
      <x:c r="H15" s="18" t="str">
        <x:v>11/12 계획표 워크숍. 블로그 기존 상위 글 2개에 새 질문·실제 화면 보완.</x:v>
      </x:c>
      <x:c r="I15" s="18" t="str">
        <x:v>부모 교육·독서 계정 5곳 제안, 협업 1개 목표. Blogger에 검증된 질문 가이드 확장 1편.</x:v>
      </x:c>
      <x:c r="J15" s="18" t="str">
        <x:v>자료 업데이트 알림 1회(광고성 포함 시 표시). 지속 구독은 명확한 광고성 수신동의.</x:v>
      </x:c>
      <x:c r="K15" s="18" t="str">
        <x:v>프로필 방문이 많은데 팔로우가 적으면 새 광고보다 프로필·대표글을 먼저 수정.</x:v>
      </x:c>
      <x:c r="L15" s="18" t="str">
        <x:v>11/12(목) 20:00 제안: 학부모 학습 계획표 워크숍 40분</x:v>
      </x:c>
      <x:c r="M15" s="18" t="str">
        <x:v>워크숍 신청 목표 25명. 자료요청 후 추가 학습 관심이 있는지 확인.</x:v>
      </x:c>
      <x:c r="N15" s="18" t="n">
        <x:v>90</x:v>
      </x:c>
      <x:c r="O15" s="18" t="n">
        <x:v>25</x:v>
      </x:c>
      <x:c r="P15" s="18" t="n">
        <x:v>40</x:v>
      </x:c>
      <x:c r="Q15" s="26" t="n">
        <x:v>250000</x:v>
      </x:c>
      <x:c r="R15" s="22" t="str">
        <x:v>미착수</x:v>
      </x:c>
    </x:row>
    <x:row r="16" ht="125" customHeight="1">
      <x:c r="A16" s="18" t="n">
        <x:v>11</x:v>
      </x:c>
      <x:c r="B16" s="20" t="n">
        <x:v>46343</x:v>
      </x:c>
      <x:c r="C16" s="20" t="n">
        <x:v>46349</x:v>
      </x:c>
      <x:c r="D16" s="18" t="str">
        <x:v>겨울방학 준비: 진도보다 빈틈 확인</x:v>
      </x:c>
      <x:c r="E16" s="18" t="str">
        <x:v>겨울방학 초등수학, 진도를 정하기 전에 확인할 것
예비 학년 수학 준비: 설명해 볼 개념 목록</x:v>
      </x:c>
      <x:c r="F16" s="18" t="str">
        <x:v>겨울방학 계획을 한 페이지로 줄여봅니다
예습 전에 확인할 수학 질문
아이와 합의할 첫 학습 목표</x:v>
      </x:c>
      <x:c r="G16" s="18" t="str">
        <x:v>과목별 겨울 계획표 초안·확정된 일정만 안내</x:v>
      </x:c>
      <x:c r="H16" s="18" t="str">
        <x:v>기존 글과 자료를 겨울 준비 맥락으로 연결. 실제 일정·정원 확정 전 마감 표현 금지.</x:v>
      </x:c>
      <x:c r="I16" s="18" t="str">
        <x:v>교육 커뮤니티 1곳 유료 공지 시험. 회원수 대신 최근 관련글 조회·댓글·중복광고 확인.</x:v>
      </x:c>
      <x:c r="J16" s="18" t="str">
        <x:v>겨울 준비 관심자 선택 구독. 기존 전체 친구를 자동 겨울모집 그룹으로 넣지 않음.</x:v>
      </x:c>
      <x:c r="K16" s="18" t="str">
        <x:v>겨울 수학/파이썬 검색어 후보를 실제 도구에서 확인. 검색량 추정 수치 광고에 쓰지 않음.</x:v>
      </x:c>
      <x:c r="L16" s="18" t="str">
        <x:v>없음</x:v>
      </x:c>
      <x:c r="M16" s="18" t="str">
        <x:v>매체별 순증과 상담 품질을 비교. 상위 2개 매체에 예산 재배치.</x:v>
      </x:c>
      <x:c r="N16" s="18" t="n">
        <x:v>100</x:v>
      </x:c>
      <x:c r="O16" s="18" t="n">
        <x:v>25</x:v>
      </x:c>
      <x:c r="P16" s="18" t="n">
        <x:v>50</x:v>
      </x:c>
      <x:c r="Q16" s="26" t="n">
        <x:v>270000</x:v>
      </x:c>
      <x:c r="R16" s="22" t="str">
        <x:v>미착수</x:v>
      </x:c>
    </x:row>
    <x:row r="17" ht="125" customHeight="1">
      <x:c r="A17" s="18" t="n">
        <x:v>12</x:v>
      </x:c>
      <x:c r="B17" s="20" t="n">
        <x:v>46350</x:v>
      </x:c>
      <x:c r="C17" s="20" t="n">
        <x:v>46356</x:v>
      </x:c>
      <x:c r="D17" s="18" t="str">
        <x:v>공동 콘텐츠와 체험 2차 모집</x:v>
      </x:c>
      <x:c r="E17" s="18" t="str">
        <x:v>겨울방학 파이썬: 첫 결과물까지 무엇을 배우나요?
수업료보다 먼저 확인할 온라인 학습의 지원 방식</x:v>
      </x:c>
      <x:c r="F17" s="18" t="str">
        <x:v>코드가 아니라 아이의 생각이 보이는 결과물
실제 질문에 답하는 교사 Q&amp;A
온라인 학습 체험 전 확인할 3가지</x:v>
      </x:c>
      <x:c r="G17" s="18" t="str">
        <x:v>두 과목 샘플 모음·공동 게시물 패키지</x:v>
      </x:c>
      <x:c r="H17" s="18" t="str">
        <x:v>기존 반응 좋은 주제를 새 사례로 제작. 신규 대형 경품 대신 관심 맞는 자료와 설명회.</x:v>
      </x:c>
      <x:c r="I17" s="18" t="str">
        <x:v>성과 좋은 파트너 2곳에 재제안. 2차 사용권·광고표시·고유 링크·성과 공유 조건 확정.</x:v>
      </x:c>
      <x:c r="J17" s="18" t="str">
        <x:v>첫채팅 없는 신규 친구에게 무조건 개별DM 발송하지 않음. 그룹 메시지 규칙대로 1회.</x:v>
      </x:c>
      <x:c r="K17" s="18" t="str">
        <x:v>신규 크리에이티브 2개만 시험. 매일 여러 변수를 바꾸지 않고 5~7일 단위 비교.</x:v>
      </x:c>
      <x:c r="L17" s="18" t="str">
        <x:v>없음</x:v>
      </x:c>
      <x:c r="M17" s="18" t="str">
        <x:v>실제 체험 수용량을 확인. 관심만 모으고 시작 지원 못 하면 모집 예산 감액.</x:v>
      </x:c>
      <x:c r="N17" s="18" t="n">
        <x:v>100</x:v>
      </x:c>
      <x:c r="O17" s="18" t="n">
        <x:v>25</x:v>
      </x:c>
      <x:c r="P17" s="18" t="n">
        <x:v>50</x:v>
      </x:c>
      <x:c r="Q17" s="26" t="n">
        <x:v>270000</x:v>
      </x:c>
      <x:c r="R17" s="22" t="str">
        <x:v>미착수</x:v>
      </x:c>
    </x:row>
    <x:row r="18" ht="125" customHeight="1">
      <x:c r="A18" s="18" t="n">
        <x:v>13</x:v>
      </x:c>
      <x:c r="B18" s="20" t="n">
        <x:v>46357</x:v>
      </x:c>
      <x:c r="C18" s="20" t="n">
        <x:v>46363</x:v>
      </x:c>
      <x:c r="D18" s="18" t="str">
        <x:v>겨울방학 공개 수업과 마지막 접점 확대</x:v>
      </x:c>
      <x:c r="E18" s="18" t="str">
        <x:v>우리 아이 겨울방학 계획, 세 과정을 비교해 고르는 법
겨울방학 공개 수업에서 학부모가 확인할 장면</x:v>
      </x:c>
      <x:c r="F18" s="18" t="str">
        <x:v>수학 공개 수업 한 장면
파이썬 공개 수업 한 장면
겨울 계획을 부모와 아이가 함께 정하는 질문</x:v>
      </x:c>
      <x:c r="G18" s="18" t="str">
        <x:v>12/3 공개 수업·과목별 질문지</x:v>
      </x:c>
      <x:c r="H18" s="18" t="str">
        <x:v>협력처와 공개 안내 2회. 참석자에게 한 번에 3채널 추가 요구하지 않음. 다음 질문에 맞는 채널 하나 제안.</x:v>
      </x:c>
      <x:c r="I18" s="18" t="str">
        <x:v>이전 협력처·기존 개인 독자에게 공개 공지 재활용. 후기 게시를 참가 조건으로 요구하지 않음.</x:v>
      </x:c>
      <x:c r="J18" s="18" t="str">
        <x:v>신청 확인·접속 안내·질문 답변. 모집메시지와 서비스 안내 분리.</x:v>
      </x:c>
      <x:c r="K18" s="18" t="str">
        <x:v>누적 우수 경로만 집행. 현재 예산 소진보다 성과 낮은 비용 중단 우선.</x:v>
      </x:c>
      <x:c r="L18" s="18" t="str">
        <x:v>12/3(목) 20:00 제안: 겨울방학 공개 수업 40분</x:v>
      </x:c>
      <x:c r="M18" s="18" t="str">
        <x:v>신청 목표 40명. 참석·채널추가·첫학습으로 나눠 회고.</x:v>
      </x:c>
      <x:c r="N18" s="18" t="n">
        <x:v>90</x:v>
      </x:c>
      <x:c r="O18" s="18" t="n">
        <x:v>25</x:v>
      </x:c>
      <x:c r="P18" s="18" t="n">
        <x:v>40</x:v>
      </x:c>
      <x:c r="Q18" s="26" t="n">
        <x:v>200000</x:v>
      </x:c>
      <x:c r="R18" s="22" t="str">
        <x:v>미착수</x:v>
      </x:c>
    </x:row>
    <x:row r="19" ht="125" customHeight="1">
      <x:c r="A19" s="18" t="n">
        <x:v>14</x:v>
      </x:c>
      <x:c r="B19" s="20" t="n">
        <x:v>46364</x:v>
      </x:c>
      <x:c r="C19" s="20" t="n">
        <x:v>46370</x:v>
      </x:c>
      <x:c r="D19" s="18" t="str">
        <x:v>반응 좋은 주제 재제작·관계 유지</x:v>
      </x:c>
      <x:c r="E19" s="18" t="str">
        <x:v>학부모가 가장 많이 물은 질문 10개
메타센스 체험 가이드: 시작부터 종료까지</x:v>
      </x:c>
      <x:c r="F19" s="18" t="str">
        <x:v>가장 많이 저장된 주제의 새 예시
이런 아이에게는 다른 선택도 권합니다
부모가 편하게 문의하는 방법</x:v>
      </x:c>
      <x:c r="G19" s="18" t="str">
        <x:v>자료 모음 목차·과정별 빠른 안내</x:v>
      </x:c>
      <x:c r="H19" s="18" t="str">
        <x:v>채널이 성장한 이유를 상위 게시물·제휴별로 정리. 팔로우 후 얻을 다음 달 콘텐츠 약속.</x:v>
      </x:c>
      <x:c r="I19" s="18" t="str">
        <x:v>성과 좋았던 3곳과 다음 30일 협의. 무응답 상대 반복 접촉 중단.</x:v>
      </x:c>
      <x:c r="J19" s="18" t="str">
        <x:v>자료 모음 안내 1회, 차단·문의 부담 점검. 새로운 공개 무료체험 조건 무단 추가 금지.</x:v>
      </x:c>
      <x:c r="K19" s="18" t="str">
        <x:v>광고 효율 낮은 매체 종료. 예산 잔액을 소진하려고 집행하지 않음.</x:v>
      </x:c>
      <x:c r="L19" s="18" t="str">
        <x:v>없음</x:v>
      </x:c>
      <x:c r="M19" s="18" t="str">
        <x:v>유입 출처·순증·14일 내 첫학습·체험 종료한 가정의 등록을 비교.</x:v>
      </x:c>
      <x:c r="N19" s="18" t="n">
        <x:v>90</x:v>
      </x:c>
      <x:c r="O19" s="18" t="n">
        <x:v>25</x:v>
      </x:c>
      <x:c r="P19" s="18" t="n">
        <x:v>40</x:v>
      </x:c>
      <x:c r="Q19" s="26" t="n">
        <x:v>150000</x:v>
      </x:c>
      <x:c r="R19" s="22" t="str">
        <x:v>미착수</x:v>
      </x:c>
    </x:row>
    <x:row r="20" ht="125" customHeight="1">
      <x:c r="A20" s="18" t="n">
        <x:v>15</x:v>
      </x:c>
      <x:c r="B20" s="20" t="n">
        <x:v>46371</x:v>
      </x:c>
      <x:c r="C20" s="20" t="n">
        <x:v>46372</x:v>
      </x:c>
      <x:c r="D20" s="18" t="str">
        <x:v>100일 결산과 다음 실험 선택</x:v>
      </x:c>
      <x:c r="E20" s="18" t="str">
        <x:v>메타센스 100일 운영 기록: 무엇을 계속하고 무엇을 바꿀까요?</x:v>
      </x:c>
      <x:c r="F20" s="18" t="str">
        <x:v>100일 동안 가장 많이 받은 질문과 다음 이야기</x:v>
      </x:c>
      <x:c r="G20" s="18" t="str">
        <x:v>100일 성과표·다음 30일 집중 채널 2개</x:v>
      </x:c>
      <x:c r="H20" s="18" t="str">
        <x:v>12/15 마지막 집계, 12/16 결산 공개. 허수·중복 합계·미완료 체험을 성공 수치로 발표하지 않음.</x:v>
      </x:c>
      <x:c r="I20" s="18" t="str">
        <x:v>협력처에 실제 집계 결과 전달. 다음 협업은 별도 동의로 결정.</x:v>
      </x:c>
      <x:c r="J20" s="18" t="str">
        <x:v>소식 게시로 감사와 다음 자료 예고. 불필요한 전체발송 없음.</x:v>
      </x:c>
      <x:c r="K20" s="18" t="str">
        <x:v>미집행 예산 환류·종료. 새 광고는 다음 계획에서 판단.</x:v>
      </x:c>
      <x:c r="L20" s="18" t="str">
        <x:v>12/15~16 결산</x:v>
      </x:c>
      <x:c r="M20" s="18" t="str">
        <x:v>최종 순증·실제 지출·자료요청·첫학습·등록·유지 가능한 주간 시간 기록.</x:v>
      </x:c>
      <x:c r="N20" s="18" t="n">
        <x:v>40</x:v>
      </x:c>
      <x:c r="O20" s="18" t="n">
        <x:v>10</x:v>
      </x:c>
      <x:c r="P20" s="18" t="n">
        <x:v>20</x:v>
      </x:c>
      <x:c r="Q20" s="26" t="n">
        <x:v>40000</x:v>
      </x:c>
      <x:c r="R20" s="22" t="str">
        <x:v>미착수</x:v>
      </x:c>
    </x:row>
  </x:sheetData>
  <x:mergeCells>
    <x:mergeCell ref="A1:R1"/>
    <x:mergeCell ref="A2:R3"/>
  </x:mergeCells>
  <x:conditionalFormatting sqref="R6:R20">
    <x:cfRule type="expression" dxfId="0" priority="1">
      <x:formula>R6="완료"</x:formula>
    </x:cfRule>
  </x:conditionalFormatting>
  <x:dataValidations count="1">
    <x:dataValidation type="list" sqref="R6:R20">
      <x:formula1>"미착수,진행중,완료,보류,초안 전,발행"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950dc4e98b4d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19" hidden="0" customWidth="1"/>
    <x:col min="13" max="13" width="19" hidden="0" customWidth="1"/>
    <x:col min="14" max="14" width="19" hidden="0" customWidth="1"/>
    <x:col min="15" max="15" width="38" hidden="0" customWidth="1"/>
  </x:cols>
  <x:sheetData>
    <x:row r="1" ht="30" customHeight="1">
      <x:c r="A1" s="7" t="str">
        <x:v>100일 | 오늘 할 일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 ht="26" customHeight="1">
      <x:c r="A2" s="11" t="str">
        <x:v>평일 약 3시간 25분 + 토요일 100분 + 일요일 30분을 가정한 집중 운영안. 분량은 배분용 추정이며 상담·제작 숙련도에 따라 변함. 계정 활동 횟수는 안전 한도나 알고리즘 공식이 아님.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2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38" customHeight="1">
      <x:c r="A5" s="15" t="str">
        <x:v>Day</x:v>
      </x:c>
      <x:c r="B5" s="15" t="str">
        <x:v>날짜</x:v>
      </x:c>
      <x:c r="C5" s="15" t="str">
        <x:v>주차</x:v>
      </x:c>
      <x:c r="D5" s="15" t="str">
        <x:v>요일</x:v>
      </x:c>
      <x:c r="E5" s="15" t="str">
        <x:v>오늘의 성과</x:v>
      </x:c>
      <x:c r="F5" s="15" t="str">
        <x:v>필수 실행</x:v>
      </x:c>
      <x:c r="G5" s="15" t="str">
        <x:v>발행·제작 주제</x:v>
      </x:c>
      <x:c r="H5" s="15" t="str">
        <x:v>일상 교류</x:v>
      </x:c>
      <x:c r="I5" s="15" t="str">
        <x:v>게시 외 성장 활동</x:v>
      </x:c>
      <x:c r="J5" s="15" t="str">
        <x:v>광고 점검</x:v>
      </x:c>
      <x:c r="K5" s="15" t="str">
        <x:v>측정</x:v>
      </x:c>
      <x:c r="L5" s="15" t="str">
        <x:v>상태</x:v>
      </x:c>
      <x:c r="M5" s="15" t="str">
        <x:v>계획분</x:v>
      </x:c>
      <x:c r="N5" s="15" t="str">
        <x:v>실제분</x:v>
      </x:c>
      <x:c r="O5" s="15" t="str">
        <x:v>메모</x:v>
      </x:c>
    </x:row>
    <x:row r="6" ht="115" customHeight="1">
      <x:c r="A6" s="18" t="n">
        <x:v>1</x:v>
      </x:c>
      <x:c r="B6" s="20" t="n">
        <x:v>46273</x:v>
      </x:c>
      <x:c r="C6" s="18" t="n">
        <x:v>1</x:v>
      </x:c>
      <x:c r="D6" s="18" t="str">
        <x:v>화</x:v>
      </x:c>
      <x:c r="E6" s="18" t="str">
        <x:v>핵심 글·이번 주 유입 입구</x:v>
      </x:c>
      <x:c r="F6" s="18" t="str">
        <x:v>블로그 A 발행. 키워드 의도와 실제 수업 예시 점검. 이번 주 자료·CTA 하나 선택.</x:v>
      </x:c>
      <x:c r="G6" s="18" t="str">
        <x:v>스스로 공부한다는 것은 혼자 내버려둔다는 뜻이 아닙니다</x:v>
      </x:c>
      <x:c r="H6" s="18" t="str">
        <x:v>관련 공개 블로그 5편·인스타 5개 읽기 → 실제 도움이 될 댓글 각 3개 이내. 새 관계·이웃 요청은 맞는 상대에게만 0~3건. 문의 2회 확인.</x:v>
      </x:c>
      <x:c r="I6" s="18" t="str">
        <x:v>관련 공개 계정·블로그 40곳과 제휴 후보 20곳 정리. 공개 개인 채널 1회 소개. 상담 중인 기존 학부모에게 필요한 경우 공식 채널 안내.</x:v>
      </x:c>
      <x:c r="J6" s="18" t="str">
        <x:v>전주 결과로 이번 주 광고 1~2매체 선택</x:v>
      </x:c>
      <x:c r="K6" s="18" t="str">
        <x:v>기말 수·요청·채팅·체험·첫학습·지출·좋은 질문을 가능한 범위 기록</x:v>
      </x:c>
      <x:c r="L6" s="22" t="str">
        <x:v>미착수</x:v>
      </x:c>
      <x:c r="M6" s="18" t="n">
        <x:v>205</x:v>
      </x:c>
      <x:c r="N6" s="24"/>
      <x:c r="O6" s="24"/>
    </x:row>
    <x:row r="7" ht="115" customHeight="1">
      <x:c r="A7" s="18" t="n">
        <x:v>2</x:v>
      </x:c>
      <x:c r="B7" s="20" t="n">
        <x:v>46274</x:v>
      </x:c>
      <x:c r="C7" s="18" t="n">
        <x:v>1</x:v>
      </x:c>
      <x:c r="D7" s="18" t="str">
        <x:v>수</x:v>
      </x:c>
      <x:c r="E7" s="18" t="str">
        <x:v>촬영·첫 영상 공개</x:v>
      </x:c>
      <x:c r="F7" s="18" t="str">
        <x:v>릴스 1 발행 → 클립에 내 블로그 링크 연결 → 쇼츠 원본 재배포. 3편 묶음 촬영.</x:v>
      </x:c>
      <x:c r="G7" s="18" t="str">
        <x:v>시키지 않으면 안 하는 공부, 무엇부터 바꿀까요?</x:v>
      </x:c>
      <x:c r="H7" s="18" t="str">
        <x:v>관련 공개 블로그 5편·인스타 5개 읽기 → 실제 도움이 될 댓글 각 3개 이내. 새 관계·이웃 요청은 맞는 상대에게만 0~3건. 문의 2회 확인.</x:v>
      </x:c>
      <x:c r="I7" s="18" t="str">
        <x:v>협업을 받는 공식 창구 5곳에 자료 공동제작 제안. 고객 명단 수집·콜드DM 금지.</x:v>
      </x:c>
      <x:c r="J7" s="18" t="str">
        <x:v>선택 소재·연결·소진·신고 여부 확인</x:v>
      </x:c>
      <x:c r="K7" s="18" t="str">
        <x:v>기말 수·요청·채팅·체험·첫학습·지출·좋은 질문을 가능한 범위 기록</x:v>
      </x:c>
      <x:c r="L7" s="22" t="str">
        <x:v>미착수</x:v>
      </x:c>
      <x:c r="M7" s="18" t="n">
        <x:v>205</x:v>
      </x:c>
      <x:c r="N7" s="24"/>
      <x:c r="O7" s="24"/>
    </x:row>
    <x:row r="8" ht="115" customHeight="1">
      <x:c r="A8" s="18" t="n">
        <x:v>3</x:v>
      </x:c>
      <x:c r="B8" s="20" t="n">
        <x:v>46275</x:v>
      </x:c>
      <x:c r="C8" s="18" t="n">
        <x:v>1</x:v>
      </x:c>
      <x:c r="D8" s="18" t="str">
        <x:v>목</x:v>
      </x:c>
      <x:c r="E8" s="18" t="str">
        <x:v>두 번째 글·협업 안내</x:v>
      </x:c>
      <x:c r="F8" s="18" t="str">
        <x:v>블로그 B·카카오 소식 발행. 협업 자료 전달. 이번 주 자료 응답 템플릿 준비.</x:v>
      </x:c>
      <x:c r="G8" s="18" t="str">
        <x:v>메타센스 첫날: 접속부터 질문·피드백까지</x:v>
      </x:c>
      <x:c r="H8" s="18" t="str">
        <x:v>관련 공개 블로그 5편·인스타 5개 읽기 → 실제 도움이 될 댓글 각 3개 이내. 새 관계·이웃 요청은 맞는 상대에게만 0~3건. 문의 2회 확인.</x:v>
      </x:c>
      <x:c r="I8" s="18" t="str">
        <x:v>협업을 받는 공식 창구 5곳에 자료 공동제작 제안. 고객 명단 수집·콜드DM 금지.</x:v>
      </x:c>
      <x:c r="J8" s="18" t="str">
        <x:v>모바일 광고 연결과 실제 폼 완료 시험</x:v>
      </x:c>
      <x:c r="K8" s="18" t="str">
        <x:v>기말 수·요청·채팅·체험·첫학습·지출·좋은 질문을 가능한 범위 기록</x:v>
      </x:c>
      <x:c r="L8" s="22" t="str">
        <x:v>미착수</x:v>
      </x:c>
      <x:c r="M8" s="18" t="n">
        <x:v>205</x:v>
      </x:c>
      <x:c r="N8" s="24"/>
      <x:c r="O8" s="24"/>
    </x:row>
    <x:row r="9" ht="115" customHeight="1">
      <x:c r="A9" s="18" t="n">
        <x:v>4</x:v>
      </x:c>
      <x:c r="B9" s="20" t="n">
        <x:v>46276</x:v>
      </x:c>
      <x:c r="C9" s="18" t="n">
        <x:v>1</x:v>
      </x:c>
      <x:c r="D9" s="18" t="str">
        <x:v>금</x:v>
      </x:c>
      <x:c r="E9" s="18" t="str">
        <x:v>두 번째 영상·질문 수집</x:v>
      </x:c>
      <x:c r="F9" s="18" t="str">
        <x:v>릴스 2·클립·쇼츠 발행. 스토리에 부모 질문 1개 수집. 요청자에게만 자료 회신.</x:v>
      </x:c>
      <x:c r="G9" s="18" t="str">
        <x:v>학습 화면 30초 투어</x:v>
      </x:c>
      <x:c r="H9" s="18" t="str">
        <x:v>관련 공개 블로그 5편·인스타 5개 읽기 → 실제 도움이 될 댓글 각 3개 이내. 새 관계·이웃 요청은 맞는 상대에게만 0~3건. 문의 2회 확인.</x:v>
      </x:c>
      <x:c r="I9" s="18" t="str">
        <x:v>관련 공개 계정·블로그 40곳과 제휴 후보 20곳 정리. 공개 개인 채널 1회 소개. 상담 중인 기존 학부모에게 필요한 경우 공식 채널 안내.</x:v>
      </x:c>
      <x:c r="J9" s="18" t="str">
        <x:v>검색어·낭비 클릭·광고 문의 품질 확인</x:v>
      </x:c>
      <x:c r="K9" s="18" t="str">
        <x:v>기말 수·요청·채팅·체험·첫학습·지출·좋은 질문을 가능한 범위 기록</x:v>
      </x:c>
      <x:c r="L9" s="22" t="str">
        <x:v>미착수</x:v>
      </x:c>
      <x:c r="M9" s="18" t="n">
        <x:v>205</x:v>
      </x:c>
      <x:c r="N9" s="24"/>
      <x:c r="O9" s="24"/>
    </x:row>
    <x:row r="10" ht="115" customHeight="1">
      <x:c r="A10" s="18" t="n">
        <x:v>5</x:v>
      </x:c>
      <x:c r="B10" s="20" t="n">
        <x:v>46277</x:v>
      </x:c>
      <x:c r="C10" s="18" t="n">
        <x:v>1</x:v>
      </x:c>
      <x:c r="D10" s="18" t="str">
        <x:v>토</x:v>
      </x:c>
      <x:c r="E10" s="18" t="str">
        <x:v>세 번째 영상·자율 공유</x:v>
      </x:c>
      <x:c r="F10" s="18" t="str">
        <x:v>릴스 3·클립·쇼츠 예약 발행. 사례·교재 장면 점검. 개인 계정에서 의견을 더해 자율 공유.</x:v>
      </x:c>
      <x:c r="G10" s="18" t="str">
        <x:v>수학감각을 직접 만들게 된 이유</x:v>
      </x:c>
      <x:c r="H10" s="18" t="str">
        <x:v>예약 발행 확인·기존 문의만 20~30분. 새 제안·맞팔 수량을 채우기 위한 활동 없음.</x:v>
      </x:c>
      <x:c r="I10" s="18" t="str">
        <x:v>새 타깃 수량보다 답글·실제 상담 우선</x:v>
      </x:c>
      <x:c r="J10" s="18" t="str">
        <x:v>예산 한도·오류만 확인, 불필요한 잦은 변경 금지</x:v>
      </x:c>
      <x:c r="K10" s="18" t="str">
        <x:v>기말 수·요청·채팅·체험·첫학습·지출·좋은 질문을 가능한 범위 기록</x:v>
      </x:c>
      <x:c r="L10" s="22" t="str">
        <x:v>미착수</x:v>
      </x:c>
      <x:c r="M10" s="18" t="n">
        <x:v>100</x:v>
      </x:c>
      <x:c r="N10" s="24"/>
      <x:c r="O10" s="24"/>
    </x:row>
    <x:row r="11" ht="115" customHeight="1">
      <x:c r="A11" s="18" t="n">
        <x:v>6</x:v>
      </x:c>
      <x:c r="B11" s="20" t="n">
        <x:v>46278</x:v>
      </x:c>
      <x:c r="C11" s="18" t="n">
        <x:v>1</x:v>
      </x:c>
      <x:c r="D11" s="18" t="str">
        <x:v>일</x:v>
      </x:c>
      <x:c r="E11" s="18" t="str">
        <x:v>휴식·가벼운 점검</x:v>
      </x:c>
      <x:c r="F11" s="18" t="str">
        <x:v>20~30분만 예약 발행·문의 확인. 콘텐츠 대량 제작·신규 영업 제안은 쉬기.</x:v>
      </x:c>
      <x:c r="G11" s="18" t="str">
        <x:v>스토리 질문/다음 주 예고</x:v>
      </x:c>
      <x:c r="H11" s="18" t="str">
        <x:v>예약 발행 확인·기존 문의만 20~30분. 새 제안·맞팔 수량을 채우기 위한 활동 없음.</x:v>
      </x:c>
      <x:c r="I11" s="18" t="str">
        <x:v>자율 공유 확인; 참여하지 않은 사람 추궁 금지</x:v>
      </x:c>
      <x:c r="J11" s="18" t="str">
        <x:v>이상 지출 때만 정지</x:v>
      </x:c>
      <x:c r="K11" s="18" t="str">
        <x:v>기말 수·요청·채팅·체험·첫학습·지출·좋은 질문을 가능한 범위 기록</x:v>
      </x:c>
      <x:c r="L11" s="22" t="str">
        <x:v>미착수</x:v>
      </x:c>
      <x:c r="M11" s="18" t="n">
        <x:v>30</x:v>
      </x:c>
      <x:c r="N11" s="24"/>
      <x:c r="O11" s="24"/>
    </x:row>
    <x:row r="12" ht="115" customHeight="1">
      <x:c r="A12" s="18" t="n">
        <x:v>7</x:v>
      </x:c>
      <x:c r="B12" s="20" t="n">
        <x:v>46279</x:v>
      </x:c>
      <x:c r="C12" s="18" t="n">
        <x:v>1</x:v>
      </x:c>
      <x:c r="D12" s="18" t="str">
        <x:v>월</x:v>
      </x:c>
      <x:c r="E12" s="18" t="str">
        <x:v>측정·다음 주 우선순위</x:v>
      </x:c>
      <x:c r="F12" s="18" t="str">
        <x:v>카드형 게시물 1개 발행. 순증·자료요청·채팅·체험·첫학습·지출 기록. 다음 주 원본 소재 선택.</x:v>
      </x:c>
      <x:c r="G12" s="18" t="str">
        <x:v>메타센스가 맞는 아이·맞지 않을 수 있는 아이</x:v>
      </x:c>
      <x:c r="H12" s="18" t="str">
        <x:v>관련 공개 블로그 5편·인스타 5개 읽기 → 실제 도움이 될 댓글 각 3개 이내. 새 관계·이웃 요청은 맞는 상대에게만 0~3건. 문의 2회 확인.</x:v>
      </x:c>
      <x:c r="I12" s="18" t="str">
        <x:v>현재 팔로워·나를추가한이웃·카톡친구를 직접 기록. 링크 오류 0개.</x:v>
      </x:c>
      <x:c r="J12" s="18" t="str">
        <x:v>5~7일 단위 비교. 불리한 실험 종료·예산 미집행 허용</x:v>
      </x:c>
      <x:c r="K12" s="18" t="str">
        <x:v>기말 수·요청·채팅·체험·첫학습·지출·좋은 질문을 가능한 범위 기록</x:v>
      </x:c>
      <x:c r="L12" s="22" t="str">
        <x:v>미착수</x:v>
      </x:c>
      <x:c r="M12" s="18" t="n">
        <x:v>205</x:v>
      </x:c>
      <x:c r="N12" s="24"/>
      <x:c r="O12" s="24"/>
    </x:row>
    <x:row r="13" ht="115" customHeight="1">
      <x:c r="A13" s="18" t="n">
        <x:v>8</x:v>
      </x:c>
      <x:c r="B13" s="20" t="n">
        <x:v>46280</x:v>
      </x:c>
      <x:c r="C13" s="18" t="n">
        <x:v>2</x:v>
      </x:c>
      <x:c r="D13" s="18" t="str">
        <x:v>화</x:v>
      </x:c>
      <x:c r="E13" s="18" t="str">
        <x:v>핵심 글·이번 주 유입 입구</x:v>
      </x:c>
      <x:c r="F13" s="18" t="str">
        <x:v>블로그 A 발행. 키워드 의도와 실제 수업 예시 점검. 이번 주 자료·CTA 하나 선택.</x:v>
      </x:c>
      <x:c r="G13" s="18" t="str">
        <x:v>초등 나눗셈, 답은 맞는데 원리를 모를 때 확인할 질문</x:v>
      </x:c>
      <x:c r="H13" s="18" t="str">
        <x:v>관련 공개 블로그 5편·인스타 5개 읽기 → 실제 도움이 될 댓글 각 3개 이내. 새 관계·이웃 요청은 맞는 상대에게만 0~3건. 문의 2회 확인.</x:v>
      </x:c>
      <x:c r="I13" s="18" t="str">
        <x:v>샘플 글 끝에 다음 편 예고와 이웃추가 안내. 인스타 스토리 투표 후 요청한 사람에게만 자료 응답.</x:v>
      </x:c>
      <x:c r="J13" s="18" t="str">
        <x:v>전주 결과로 이번 주 광고 1~2매체 선택</x:v>
      </x:c>
      <x:c r="K13" s="18" t="str">
        <x:v>기말 수·요청·채팅·체험·첫학습·지출·좋은 질문을 가능한 범위 기록</x:v>
      </x:c>
      <x:c r="L13" s="22" t="str">
        <x:v>미착수</x:v>
      </x:c>
      <x:c r="M13" s="18" t="n">
        <x:v>205</x:v>
      </x:c>
      <x:c r="N13" s="24"/>
      <x:c r="O13" s="24"/>
    </x:row>
    <x:row r="14" ht="115" customHeight="1">
      <x:c r="A14" s="18" t="n">
        <x:v>9</x:v>
      </x:c>
      <x:c r="B14" s="20" t="n">
        <x:v>46281</x:v>
      </x:c>
      <x:c r="C14" s="18" t="n">
        <x:v>2</x:v>
      </x:c>
      <x:c r="D14" s="18" t="str">
        <x:v>수</x:v>
      </x:c>
      <x:c r="E14" s="18" t="str">
        <x:v>촬영·첫 영상 공개</x:v>
      </x:c>
      <x:c r="F14" s="18" t="str">
        <x:v>릴스 1 발행 → 클립에 내 블로그 링크 연결 → 쇼츠 원본 재배포. 3편 묶음 촬영.</x:v>
      </x:c>
      <x:c r="G14" s="18" t="str">
        <x:v>24÷6, 답 말고 그림을 부탁해 보세요</x:v>
      </x:c>
      <x:c r="H14" s="18" t="str">
        <x:v>관련 공개 블로그 5편·인스타 5개 읽기 → 실제 도움이 될 댓글 각 3개 이내. 새 관계·이웃 요청은 맞는 상대에게만 0~3건. 문의 2회 확인.</x:v>
      </x:c>
      <x:c r="I14" s="18" t="str">
        <x:v>제휴 후보 5곳에 개별 제안. 1곳과 다음 주 배포·표기·연결 합의.</x:v>
      </x:c>
      <x:c r="J14" s="18" t="str">
        <x:v>선택 소재·연결·소진·신고 여부 확인</x:v>
      </x:c>
      <x:c r="K14" s="18" t="str">
        <x:v>기말 수·요청·채팅·체험·첫학습·지출·좋은 질문을 가능한 범위 기록</x:v>
      </x:c>
      <x:c r="L14" s="22" t="str">
        <x:v>미착수</x:v>
      </x:c>
      <x:c r="M14" s="18" t="n">
        <x:v>205</x:v>
      </x:c>
      <x:c r="N14" s="24"/>
      <x:c r="O14" s="24"/>
    </x:row>
    <x:row r="15" ht="115" customHeight="1">
      <x:c r="A15" s="18" t="n">
        <x:v>10</x:v>
      </x:c>
      <x:c r="B15" s="20" t="n">
        <x:v>46282</x:v>
      </x:c>
      <x:c r="C15" s="18" t="n">
        <x:v>2</x:v>
      </x:c>
      <x:c r="D15" s="18" t="str">
        <x:v>목</x:v>
      </x:c>
      <x:c r="E15" s="18" t="str">
        <x:v>두 번째 글·협업 안내</x:v>
      </x:c>
      <x:c r="F15" s="18" t="str">
        <x:v>블로그 B·카카오 소식 발행. 협업 자료 전달. 이번 주 자료 응답 템플릿 준비.</x:v>
      </x:c>
      <x:c r="G15" s="18" t="str">
        <x:v>초등 문장제에서 막히는 이유를 살펴보는 3가지 질문</x:v>
      </x:c>
      <x:c r="H15" s="18" t="str">
        <x:v>관련 공개 블로그 5편·인스타 5개 읽기 → 실제 도움이 될 댓글 각 3개 이내. 새 관계·이웃 요청은 맞는 상대에게만 0~3건. 문의 2회 확인.</x:v>
      </x:c>
      <x:c r="I15" s="18" t="str">
        <x:v>제휴 후보 5곳에 개별 제안. 1곳과 다음 주 배포·표기·연결 합의.</x:v>
      </x:c>
      <x:c r="J15" s="18" t="str">
        <x:v>모바일 광고 연결과 실제 폼 완료 시험</x:v>
      </x:c>
      <x:c r="K15" s="18" t="str">
        <x:v>기말 수·요청·채팅·체험·첫학습·지출·좋은 질문을 가능한 범위 기록</x:v>
      </x:c>
      <x:c r="L15" s="22" t="str">
        <x:v>미착수</x:v>
      </x:c>
      <x:c r="M15" s="18" t="n">
        <x:v>205</x:v>
      </x:c>
      <x:c r="N15" s="24"/>
      <x:c r="O15" s="24"/>
    </x:row>
    <x:row r="16" ht="115" customHeight="1">
      <x:c r="A16" s="18" t="n">
        <x:v>11</x:v>
      </x:c>
      <x:c r="B16" s="20" t="n">
        <x:v>46283</x:v>
      </x:c>
      <x:c r="C16" s="18" t="n">
        <x:v>2</x:v>
      </x:c>
      <x:c r="D16" s="18" t="str">
        <x:v>금</x:v>
      </x:c>
      <x:c r="E16" s="18" t="str">
        <x:v>두 번째 영상·질문 수집</x:v>
      </x:c>
      <x:c r="F16" s="18" t="str">
        <x:v>릴스 2·클립·쇼츠 발행. 스토리에 부모 질문 1개 수집. 요청자에게만 자료 회신. 카카오 홍보메시지 최대 1회: 적법한 대상·광고표시·수신거부·시간 확인.</x:v>
      </x:c>
      <x:c r="G16" s="18" t="str">
        <x:v>문장제를 읽고 첫 번째로 할 일</x:v>
      </x:c>
      <x:c r="H16" s="18" t="str">
        <x:v>관련 공개 블로그 5편·인스타 5개 읽기 → 실제 도움이 될 댓글 각 3개 이내. 새 관계·이웃 요청은 맞는 상대에게만 0~3건. 문의 2회 확인.</x:v>
      </x:c>
      <x:c r="I16" s="18" t="str">
        <x:v>샘플 글 끝에 다음 편 예고와 이웃추가 안내. 인스타 스토리 투표 후 요청한 사람에게만 자료 응답.</x:v>
      </x:c>
      <x:c r="J16" s="18" t="str">
        <x:v>검색어·낭비 클릭·광고 문의 품질 확인</x:v>
      </x:c>
      <x:c r="K16" s="18" t="str">
        <x:v>기말 수·요청·채팅·체험·첫학습·지출·좋은 질문을 가능한 범위 기록</x:v>
      </x:c>
      <x:c r="L16" s="22" t="str">
        <x:v>미착수</x:v>
      </x:c>
      <x:c r="M16" s="18" t="n">
        <x:v>205</x:v>
      </x:c>
      <x:c r="N16" s="24"/>
      <x:c r="O16" s="24"/>
    </x:row>
    <x:row r="17" ht="115" customHeight="1">
      <x:c r="A17" s="18" t="n">
        <x:v>12</x:v>
      </x:c>
      <x:c r="B17" s="20" t="n">
        <x:v>46284</x:v>
      </x:c>
      <x:c r="C17" s="18" t="n">
        <x:v>2</x:v>
      </x:c>
      <x:c r="D17" s="18" t="str">
        <x:v>토</x:v>
      </x:c>
      <x:c r="E17" s="18" t="str">
        <x:v>세 번째 영상·자율 공유</x:v>
      </x:c>
      <x:c r="F17" s="18" t="str">
        <x:v>릴스 3·클립·쇼츠 예약 발행. 사례·교재 장면 점검. 개인 계정에서 의견을 더해 자율 공유.</x:v>
      </x:c>
      <x:c r="G17" s="18" t="str">
        <x:v>틀린 답에서 확인할 수 있는 것</x:v>
      </x:c>
      <x:c r="H17" s="18" t="str">
        <x:v>예약 발행 확인·기존 문의만 20~30분. 새 제안·맞팔 수량을 채우기 위한 활동 없음.</x:v>
      </x:c>
      <x:c r="I17" s="18" t="str">
        <x:v>새 타깃 수량보다 답글·실제 상담 우선</x:v>
      </x:c>
      <x:c r="J17" s="18" t="str">
        <x:v>예산 한도·오류만 확인, 불필요한 잦은 변경 금지</x:v>
      </x:c>
      <x:c r="K17" s="18" t="str">
        <x:v>기말 수·요청·채팅·체험·첫학습·지출·좋은 질문을 가능한 범위 기록</x:v>
      </x:c>
      <x:c r="L17" s="22" t="str">
        <x:v>미착수</x:v>
      </x:c>
      <x:c r="M17" s="18" t="n">
        <x:v>100</x:v>
      </x:c>
      <x:c r="N17" s="24"/>
      <x:c r="O17" s="24"/>
    </x:row>
    <x:row r="18" ht="115" customHeight="1">
      <x:c r="A18" s="18" t="n">
        <x:v>13</x:v>
      </x:c>
      <x:c r="B18" s="20" t="n">
        <x:v>46285</x:v>
      </x:c>
      <x:c r="C18" s="18" t="n">
        <x:v>2</x:v>
      </x:c>
      <x:c r="D18" s="18" t="str">
        <x:v>일</x:v>
      </x:c>
      <x:c r="E18" s="18" t="str">
        <x:v>휴식·가벼운 점검</x:v>
      </x:c>
      <x:c r="F18" s="18" t="str">
        <x:v>20~30분만 예약 발행·문의 확인. 콘텐츠 대량 제작·신규 영업 제안은 쉬기.</x:v>
      </x:c>
      <x:c r="G18" s="18" t="str">
        <x:v>스토리 질문/다음 주 예고</x:v>
      </x:c>
      <x:c r="H18" s="18" t="str">
        <x:v>예약 발행 확인·기존 문의만 20~30분. 새 제안·맞팔 수량을 채우기 위한 활동 없음.</x:v>
      </x:c>
      <x:c r="I18" s="18" t="str">
        <x:v>자율 공유 확인; 참여하지 않은 사람 추궁 금지</x:v>
      </x:c>
      <x:c r="J18" s="18" t="str">
        <x:v>이상 지출 때만 정지</x:v>
      </x:c>
      <x:c r="K18" s="18" t="str">
        <x:v>기말 수·요청·채팅·체험·첫학습·지출·좋은 질문을 가능한 범위 기록</x:v>
      </x:c>
      <x:c r="L18" s="22" t="str">
        <x:v>미착수</x:v>
      </x:c>
      <x:c r="M18" s="18" t="n">
        <x:v>30</x:v>
      </x:c>
      <x:c r="N18" s="24"/>
      <x:c r="O18" s="24"/>
    </x:row>
    <x:row r="19" ht="115" customHeight="1">
      <x:c r="A19" s="18" t="n">
        <x:v>14</x:v>
      </x:c>
      <x:c r="B19" s="20" t="n">
        <x:v>46286</x:v>
      </x:c>
      <x:c r="C19" s="18" t="n">
        <x:v>2</x:v>
      </x:c>
      <x:c r="D19" s="18" t="str">
        <x:v>월</x:v>
      </x:c>
      <x:c r="E19" s="18" t="str">
        <x:v>측정·다음 주 우선순위</x:v>
      </x:c>
      <x:c r="F19" s="18" t="str">
        <x:v>카드형 게시물 1개 발행. 순증·자료요청·채팅·체험·첫학습·지출 기록. 다음 주 원본 소재 선택.</x:v>
      </x:c>
      <x:c r="G19" s="18" t="str">
        <x:v>집에서 쓰는 수학 질문 5개</x:v>
      </x:c>
      <x:c r="H19" s="18" t="str">
        <x:v>관련 공개 블로그 5편·인스타 5개 읽기 → 실제 도움이 될 댓글 각 3개 이내. 새 관계·이웃 요청은 맞는 상대에게만 0~3건. 문의 2회 확인.</x:v>
      </x:c>
      <x:c r="I19" s="18" t="str">
        <x:v>자료 요청 경로별 수·프로필 방문·순증을 기록. 광고 팔로워 순증의 인과 해석 금지.</x:v>
      </x:c>
      <x:c r="J19" s="18" t="str">
        <x:v>5~7일 단위 비교. 불리한 실험 종료·예산 미집행 허용</x:v>
      </x:c>
      <x:c r="K19" s="18" t="str">
        <x:v>기말 수·요청·채팅·체험·첫학습·지출·좋은 질문을 가능한 범위 기록</x:v>
      </x:c>
      <x:c r="L19" s="22" t="str">
        <x:v>미착수</x:v>
      </x:c>
      <x:c r="M19" s="18" t="n">
        <x:v>205</x:v>
      </x:c>
      <x:c r="N19" s="24"/>
      <x:c r="O19" s="24"/>
    </x:row>
    <x:row r="20" ht="115" customHeight="1">
      <x:c r="A20" s="18" t="n">
        <x:v>15</x:v>
      </x:c>
      <x:c r="B20" s="20" t="n">
        <x:v>46287</x:v>
      </x:c>
      <x:c r="C20" s="18" t="n">
        <x:v>3</x:v>
      </x:c>
      <x:c r="D20" s="18" t="str">
        <x:v>화</x:v>
      </x:c>
      <x:c r="E20" s="18" t="str">
        <x:v>핵심 글·이번 주 유입 입구</x:v>
      </x:c>
      <x:c r="F20" s="18" t="str">
        <x:v>블로그 A 발행. 키워드 의도와 실제 수업 예시 점검. 이번 주 자료·CTA 하나 선택.</x:v>
      </x:c>
      <x:c r="G20" s="18" t="str">
        <x:v>연휴에 공부 잔소리 대신 건넬 수학 대화 질문</x:v>
      </x:c>
      <x:c r="H20" s="18" t="str">
        <x:v>관련 공개 블로그 5편·인스타 5개 읽기 → 실제 도움이 될 댓글 각 3개 이내. 새 관계·이웃 요청은 맞는 상대에게만 0~3건. 문의 2회 확인.</x:v>
      </x:c>
      <x:c r="I20" s="18" t="str">
        <x:v>9/24~26 추석은 예약 발행·자발 공유 중심. 기존 학부모에게 공유 의무 없이 안내. 3채널 인증 요구 금지.</x:v>
      </x:c>
      <x:c r="J20" s="18" t="str">
        <x:v>전주 결과로 이번 주 광고 1~2매체 선택</x:v>
      </x:c>
      <x:c r="K20" s="18" t="str">
        <x:v>기말 수·요청·채팅·체험·첫학습·지출·좋은 질문을 가능한 범위 기록</x:v>
      </x:c>
      <x:c r="L20" s="22" t="str">
        <x:v>미착수</x:v>
      </x:c>
      <x:c r="M20" s="18" t="n">
        <x:v>205</x:v>
      </x:c>
      <x:c r="N20" s="24"/>
      <x:c r="O20" s="24"/>
    </x:row>
    <x:row r="21" ht="115" customHeight="1">
      <x:c r="A21" s="18" t="n">
        <x:v>16</x:v>
      </x:c>
      <x:c r="B21" s="20" t="n">
        <x:v>46288</x:v>
      </x:c>
      <x:c r="C21" s="18" t="n">
        <x:v>3</x:v>
      </x:c>
      <x:c r="D21" s="18" t="str">
        <x:v>수</x:v>
      </x:c>
      <x:c r="E21" s="18" t="str">
        <x:v>촬영·첫 영상 공개</x:v>
      </x:c>
      <x:c r="F21" s="18" t="str">
        <x:v>릴스 1 발행 → 클립에 내 블로그 링크 연결 → 쇼츠 원본 재배포. 3편 묶음 촬영.</x:v>
      </x:c>
      <x:c r="G21" s="18" t="str">
        <x:v>가족끼리 풀어보는 나눗셈 이야기</x:v>
      </x:c>
      <x:c r="H21" s="18" t="str">
        <x:v>관련 공개 블로그 5편·인스타 5개 읽기 → 실제 도움이 될 댓글 각 3개 이내. 새 관계·이웃 요청은 맞는 상대에게만 0~3건. 문의 2회 확인.</x:v>
      </x:c>
      <x:c r="I21" s="18" t="str">
        <x:v>협력처 1곳에 합의한 자료 제공. 연휴 중 신규 영업 제안은 쉬고 9/28 응답 확인.</x:v>
      </x:c>
      <x:c r="J21" s="18" t="str">
        <x:v>선택 소재·연결·소진·신고 여부 확인</x:v>
      </x:c>
      <x:c r="K21" s="18" t="str">
        <x:v>기말 수·요청·채팅·체험·첫학습·지출·좋은 질문을 가능한 범위 기록</x:v>
      </x:c>
      <x:c r="L21" s="22" t="str">
        <x:v>미착수</x:v>
      </x:c>
      <x:c r="M21" s="18" t="n">
        <x:v>205</x:v>
      </x:c>
      <x:c r="N21" s="24"/>
      <x:c r="O21" s="24"/>
    </x:row>
    <x:row r="22" ht="115" customHeight="1">
      <x:c r="A22" s="18" t="n">
        <x:v>17</x:v>
      </x:c>
      <x:c r="B22" s="20" t="n">
        <x:v>46289</x:v>
      </x:c>
      <x:c r="C22" s="18" t="n">
        <x:v>3</x:v>
      </x:c>
      <x:c r="D22" s="18" t="str">
        <x:v>목</x:v>
      </x:c>
      <x:c r="E22" s="18" t="str">
        <x:v>추석 연휴 예약 발행·휴식</x:v>
      </x:c>
      <x:c r="F22" s="18" t="str">
        <x:v>준비된 가족 대화 자료만 예약 발행. 강제 인증·공부 압박 없음.</x:v>
      </x:c>
      <x:c r="G22" s="18" t="str">
        <x:v>친구에게 메타센스를 소개할 때 먼저 알려줄 체험 조건</x:v>
      </x:c>
      <x:c r="H22" s="18" t="str">
        <x:v>명절 신규 제안·일괄 홍보 발송은 쉬기. 예약 콘텐츠와 필요한 기존 문의만 20분.</x:v>
      </x:c>
      <x:c r="I22" s="18" t="str">
        <x:v>공유는 자율. 9/28 이후 필요한 응답 확인.</x:v>
      </x:c>
      <x:c r="J22" s="18" t="str">
        <x:v>모바일 광고 연결과 실제 폼 완료 시험</x:v>
      </x:c>
      <x:c r="K22" s="18" t="str">
        <x:v>기말 수·요청·채팅·체험·첫학습·지출·좋은 질문을 가능한 범위 기록</x:v>
      </x:c>
      <x:c r="L22" s="22" t="str">
        <x:v>미착수</x:v>
      </x:c>
      <x:c r="M22" s="18" t="n">
        <x:v>20</x:v>
      </x:c>
      <x:c r="N22" s="24"/>
      <x:c r="O22" s="24"/>
    </x:row>
    <x:row r="23" ht="115" customHeight="1">
      <x:c r="A23" s="18" t="n">
        <x:v>18</x:v>
      </x:c>
      <x:c r="B23" s="20" t="n">
        <x:v>46290</x:v>
      </x:c>
      <x:c r="C23" s="18" t="n">
        <x:v>3</x:v>
      </x:c>
      <x:c r="D23" s="18" t="str">
        <x:v>금</x:v>
      </x:c>
      <x:c r="E23" s="18" t="str">
        <x:v>추석 연휴 예약 발행·휴식</x:v>
      </x:c>
      <x:c r="F23" s="18" t="str">
        <x:v>준비된 가족 대화 자료만 예약 발행. 강제 인증·공부 압박 없음.</x:v>
      </x:c>
      <x:c r="G23" s="18" t="str">
        <x:v>아이 설명을 끊지 않는 후속 질문</x:v>
      </x:c>
      <x:c r="H23" s="18" t="str">
        <x:v>명절 신규 제안·일괄 홍보 발송은 쉬기. 예약 콘텐츠와 필요한 기존 문의만 20분.</x:v>
      </x:c>
      <x:c r="I23" s="18" t="str">
        <x:v>공유는 자율. 9/28 이후 필요한 응답 확인.</x:v>
      </x:c>
      <x:c r="J23" s="18" t="str">
        <x:v>검색어·낭비 클릭·광고 문의 품질 확인</x:v>
      </x:c>
      <x:c r="K23" s="18" t="str">
        <x:v>기말 수·요청·채팅·체험·첫학습·지출·좋은 질문을 가능한 범위 기록</x:v>
      </x:c>
      <x:c r="L23" s="22" t="str">
        <x:v>미착수</x:v>
      </x:c>
      <x:c r="M23" s="18" t="n">
        <x:v>20</x:v>
      </x:c>
      <x:c r="N23" s="24"/>
      <x:c r="O23" s="24"/>
    </x:row>
    <x:row r="24" ht="115" customHeight="1">
      <x:c r="A24" s="18" t="n">
        <x:v>19</x:v>
      </x:c>
      <x:c r="B24" s="20" t="n">
        <x:v>46291</x:v>
      </x:c>
      <x:c r="C24" s="18" t="n">
        <x:v>3</x:v>
      </x:c>
      <x:c r="D24" s="18" t="str">
        <x:v>토</x:v>
      </x:c>
      <x:c r="E24" s="18" t="str">
        <x:v>추석 연휴 예약 발행·휴식</x:v>
      </x:c>
      <x:c r="F24" s="18" t="str">
        <x:v>준비된 가족 대화 자료만 예약 발행. 강제 인증·공부 압박 없음.</x:v>
      </x:c>
      <x:c r="G24" s="18" t="str">
        <x:v>메타센스 체험: 일반 신청과 친구 초대의 차이</x:v>
      </x:c>
      <x:c r="H24" s="18" t="str">
        <x:v>명절 신규 제안·일괄 홍보 발송은 쉬기. 예약 콘텐츠와 필요한 기존 문의만 20분.</x:v>
      </x:c>
      <x:c r="I24" s="18" t="str">
        <x:v>공유는 자율. 9/28 이후 필요한 응답 확인.</x:v>
      </x:c>
      <x:c r="J24" s="18" t="str">
        <x:v>예산 한도·오류만 확인, 불필요한 잦은 변경 금지</x:v>
      </x:c>
      <x:c r="K24" s="18" t="str">
        <x:v>기말 수·요청·채팅·체험·첫학습·지출·좋은 질문을 가능한 범위 기록</x:v>
      </x:c>
      <x:c r="L24" s="22" t="str">
        <x:v>미착수</x:v>
      </x:c>
      <x:c r="M24" s="18" t="n">
        <x:v>20</x:v>
      </x:c>
      <x:c r="N24" s="24"/>
      <x:c r="O24" s="24"/>
    </x:row>
    <x:row r="25" ht="115" customHeight="1">
      <x:c r="A25" s="18" t="n">
        <x:v>20</x:v>
      </x:c>
      <x:c r="B25" s="20" t="n">
        <x:v>46292</x:v>
      </x:c>
      <x:c r="C25" s="18" t="n">
        <x:v>3</x:v>
      </x:c>
      <x:c r="D25" s="18" t="str">
        <x:v>일</x:v>
      </x:c>
      <x:c r="E25" s="18" t="str">
        <x:v>휴식·가벼운 점검</x:v>
      </x:c>
      <x:c r="F25" s="18" t="str">
        <x:v>20~30분만 예약 발행·문의 확인. 콘텐츠 대량 제작·신규 영업 제안은 쉬기.</x:v>
      </x:c>
      <x:c r="G25" s="18" t="str">
        <x:v>스토리 질문/다음 주 예고</x:v>
      </x:c>
      <x:c r="H25" s="18" t="str">
        <x:v>예약 발행 확인·기존 문의만 20~30분. 새 제안·맞팔 수량을 채우기 위한 활동 없음.</x:v>
      </x:c>
      <x:c r="I25" s="18" t="str">
        <x:v>자율 공유 확인; 참여하지 않은 사람 추궁 금지</x:v>
      </x:c>
      <x:c r="J25" s="18" t="str">
        <x:v>이상 지출 때만 정지</x:v>
      </x:c>
      <x:c r="K25" s="18" t="str">
        <x:v>기말 수·요청·채팅·체험·첫학습·지출·좋은 질문을 가능한 범위 기록</x:v>
      </x:c>
      <x:c r="L25" s="22" t="str">
        <x:v>미착수</x:v>
      </x:c>
      <x:c r="M25" s="18" t="n">
        <x:v>30</x:v>
      </x:c>
      <x:c r="N25" s="24"/>
      <x:c r="O25" s="24"/>
    </x:row>
    <x:row r="26" ht="115" customHeight="1">
      <x:c r="A26" s="18" t="n">
        <x:v>21</x:v>
      </x:c>
      <x:c r="B26" s="20" t="n">
        <x:v>46293</x:v>
      </x:c>
      <x:c r="C26" s="18" t="n">
        <x:v>3</x:v>
      </x:c>
      <x:c r="D26" s="18" t="str">
        <x:v>월</x:v>
      </x:c>
      <x:c r="E26" s="18" t="str">
        <x:v>측정·다음 주 우선순위</x:v>
      </x:c>
      <x:c r="F26" s="18" t="str">
        <x:v>카드형 게시물 1개 발행. 순증·자료요청·채팅·체험·첫학습·지출 기록. 다음 주 원본 소재 선택.</x:v>
      </x:c>
      <x:c r="G26" s="18" t="str">
        <x:v>가족 대화 질문 카드</x:v>
      </x:c>
      <x:c r="H26" s="18" t="str">
        <x:v>관련 공개 블로그 5편·인스타 5개 읽기 → 실제 도움이 될 댓글 각 3개 이내. 새 관계·이웃 요청은 맞는 상대에게만 0~3건. 문의 2회 확인.</x:v>
      </x:c>
      <x:c r="I26" s="18" t="str">
        <x:v>공유 링크별 방문·친구추가·첫학습을 분리. 연휴 표본을 일반 주와 단정 비교하지 않음.</x:v>
      </x:c>
      <x:c r="J26" s="18" t="str">
        <x:v>5~7일 단위 비교. 불리한 실험 종료·예산 미집행 허용</x:v>
      </x:c>
      <x:c r="K26" s="18" t="str">
        <x:v>기말 수·요청·채팅·체험·첫학습·지출·좋은 질문을 가능한 범위 기록</x:v>
      </x:c>
      <x:c r="L26" s="22" t="str">
        <x:v>미착수</x:v>
      </x:c>
      <x:c r="M26" s="18" t="n">
        <x:v>205</x:v>
      </x:c>
      <x:c r="N26" s="24"/>
      <x:c r="O26" s="24"/>
    </x:row>
    <x:row r="27" ht="115" customHeight="1">
      <x:c r="A27" s="18" t="n">
        <x:v>22</x:v>
      </x:c>
      <x:c r="B27" s="20" t="n">
        <x:v>46294</x:v>
      </x:c>
      <x:c r="C27" s="18" t="n">
        <x:v>4</x:v>
      </x:c>
      <x:c r="D27" s="18" t="str">
        <x:v>화</x:v>
      </x:c>
      <x:c r="E27" s="18" t="str">
        <x:v>핵심 글·이번 주 유입 입구</x:v>
      </x:c>
      <x:c r="F27" s="18" t="str">
        <x:v>블로그 A 발행. 키워드 의도와 실제 수업 예시 점검. 이번 주 자료·CTA 하나 선택.</x:v>
      </x:c>
      <x:c r="G27" s="18" t="str">
        <x:v>초등수학 온라인 수업, 체험할 때 확인할 5가지</x:v>
      </x:c>
      <x:c r="H27" s="18" t="str">
        <x:v>관련 공개 블로그 5편·인스타 5개 읽기 → 실제 도움이 될 댓글 각 3개 이내. 새 관계·이웃 요청은 맞는 상대에게만 0~3건. 문의 2회 확인.</x:v>
      </x:c>
      <x:c r="I27" s="18" t="str">
        <x:v>행사 7일 전/3일 전 공개 안내. 관심 표시·신청자에게만 필요한 알림. 참석 후 자발 채널추가 제안.</x:v>
      </x:c>
      <x:c r="J27" s="18" t="str">
        <x:v>전주 결과로 이번 주 광고 1~2매체 선택</x:v>
      </x:c>
      <x:c r="K27" s="18" t="str">
        <x:v>기말 수·요청·채팅·체험·첫학습·지출·좋은 질문을 가능한 범위 기록</x:v>
      </x:c>
      <x:c r="L27" s="22" t="str">
        <x:v>미착수</x:v>
      </x:c>
      <x:c r="M27" s="18" t="n">
        <x:v>205</x:v>
      </x:c>
      <x:c r="N27" s="24"/>
      <x:c r="O27" s="24"/>
    </x:row>
    <x:row r="28" ht="115" customHeight="1">
      <x:c r="A28" s="18" t="n">
        <x:v>23</x:v>
      </x:c>
      <x:c r="B28" s="20" t="n">
        <x:v>46295</x:v>
      </x:c>
      <x:c r="C28" s="18" t="n">
        <x:v>4</x:v>
      </x:c>
      <x:c r="D28" s="18" t="str">
        <x:v>수</x:v>
      </x:c>
      <x:c r="E28" s="18" t="str">
        <x:v>촬영·첫 영상 공개</x:v>
      </x:c>
      <x:c r="F28" s="18" t="str">
        <x:v>릴스 1 발행 → 클립에 내 블로그 링크 연결 → 쇼츠 원본 재배포. 3편 묶음 촬영.</x:v>
      </x:c>
      <x:c r="G28" s="18" t="str">
        <x:v>부모가 계속 옆에 있어야 할까요?</x:v>
      </x:c>
      <x:c r="H28" s="18" t="str">
        <x:v>관련 공개 블로그 5편·인스타 5개 읽기 → 실제 도움이 될 댓글 각 3개 이내. 새 관계·이웃 요청은 맞는 상대에게만 0~3건. 문의 2회 확인.</x:v>
      </x:c>
      <x:c r="I28" s="18" t="str">
        <x:v>협력 커뮤니티 1곳에서 승인된 안내 게시. 협업 상대와 공동 게시물 1개.</x:v>
      </x:c>
      <x:c r="J28" s="18" t="str">
        <x:v>선택 소재·연결·소진·신고 여부 확인</x:v>
      </x:c>
      <x:c r="K28" s="18" t="str">
        <x:v>기말 수·요청·채팅·체험·첫학습·지출·좋은 질문을 가능한 범위 기록</x:v>
      </x:c>
      <x:c r="L28" s="22" t="str">
        <x:v>미착수</x:v>
      </x:c>
      <x:c r="M28" s="18" t="n">
        <x:v>205</x:v>
      </x:c>
      <x:c r="N28" s="24"/>
      <x:c r="O28" s="24"/>
    </x:row>
    <x:row r="29" ht="115" customHeight="1">
      <x:c r="A29" s="18" t="n">
        <x:v>24</x:v>
      </x:c>
      <x:c r="B29" s="20" t="n">
        <x:v>46296</x:v>
      </x:c>
      <x:c r="C29" s="18" t="n">
        <x:v>4</x:v>
      </x:c>
      <x:c r="D29" s="18" t="str">
        <x:v>목</x:v>
      </x:c>
      <x:c r="E29" s="18" t="str">
        <x:v>두 번째 글·협업 안내</x:v>
      </x:c>
      <x:c r="F29" s="18" t="str">
        <x:v>블로그 B·카카오 소식 발행. 협업 자료 전달. 이번 주 자료 응답 템플릿 준비. 10/1(목) 20:00 제안: 초등수학 수업 선택 설명회 40분; 20분 교육+10분 시연+10분 질문.</x:v>
      </x:c>
      <x:c r="G29" s="18" t="str">
        <x:v>학부모 질문 모음: 부모는 옆에서 얼마나 도와야 하나요?</x:v>
      </x:c>
      <x:c r="H29" s="18" t="str">
        <x:v>관련 공개 블로그 5편·인스타 5개 읽기 → 실제 도움이 될 댓글 각 3개 이내. 새 관계·이웃 요청은 맞는 상대에게만 0~3건. 문의 2회 확인.</x:v>
      </x:c>
      <x:c r="I29" s="18" t="str">
        <x:v>협력 커뮤니티 1곳에서 승인된 안내 게시. 협업 상대와 공동 게시물 1개.</x:v>
      </x:c>
      <x:c r="J29" s="18" t="str">
        <x:v>모바일 광고 연결과 실제 폼 완료 시험</x:v>
      </x:c>
      <x:c r="K29" s="18" t="str">
        <x:v>기말 수·요청·채팅·체험·첫학습·지출·좋은 질문을 가능한 범위 기록</x:v>
      </x:c>
      <x:c r="L29" s="22" t="str">
        <x:v>미착수</x:v>
      </x:c>
      <x:c r="M29" s="18" t="n">
        <x:v>250</x:v>
      </x:c>
      <x:c r="N29" s="24"/>
      <x:c r="O29" s="24"/>
    </x:row>
    <x:row r="30" ht="115" customHeight="1">
      <x:c r="A30" s="18" t="n">
        <x:v>25</x:v>
      </x:c>
      <x:c r="B30" s="20" t="n">
        <x:v>46297</x:v>
      </x:c>
      <x:c r="C30" s="18" t="n">
        <x:v>4</x:v>
      </x:c>
      <x:c r="D30" s="18" t="str">
        <x:v>금</x:v>
      </x:c>
      <x:c r="E30" s="18" t="str">
        <x:v>두 번째 영상·질문 수집</x:v>
      </x:c>
      <x:c r="F30" s="18" t="str">
        <x:v>릴스 2·클립·쇼츠 발행. 스토리에 부모 질문 1개 수집. 요청자에게만 자료 회신. 카카오 홍보메시지 최대 1회: 적법한 대상·광고표시·수신거부·시간 확인.</x:v>
      </x:c>
      <x:c r="G30" s="18" t="str">
        <x:v>메타센스에서 막혔을 때 도움받는 장면</x:v>
      </x:c>
      <x:c r="H30" s="18" t="str">
        <x:v>관련 공개 블로그 5편·인스타 5개 읽기 → 실제 도움이 될 댓글 각 3개 이내. 새 관계·이웃 요청은 맞는 상대에게만 0~3건. 문의 2회 확인.</x:v>
      </x:c>
      <x:c r="I30" s="18" t="str">
        <x:v>행사 7일 전/3일 전 공개 안내. 관심 표시·신청자에게만 필요한 알림. 참석 후 자발 채널추가 제안.</x:v>
      </x:c>
      <x:c r="J30" s="18" t="str">
        <x:v>검색어·낭비 클릭·광고 문의 품질 확인</x:v>
      </x:c>
      <x:c r="K30" s="18" t="str">
        <x:v>기말 수·요청·채팅·체험·첫학습·지출·좋은 질문을 가능한 범위 기록</x:v>
      </x:c>
      <x:c r="L30" s="22" t="str">
        <x:v>미착수</x:v>
      </x:c>
      <x:c r="M30" s="18" t="n">
        <x:v>205</x:v>
      </x:c>
      <x:c r="N30" s="24"/>
      <x:c r="O30" s="24"/>
    </x:row>
    <x:row r="31" ht="115" customHeight="1">
      <x:c r="A31" s="18" t="n">
        <x:v>26</x:v>
      </x:c>
      <x:c r="B31" s="20" t="n">
        <x:v>46298</x:v>
      </x:c>
      <x:c r="C31" s="18" t="n">
        <x:v>4</x:v>
      </x:c>
      <x:c r="D31" s="18" t="str">
        <x:v>토</x:v>
      </x:c>
      <x:c r="E31" s="18" t="str">
        <x:v>세 번째 영상·자율 공유</x:v>
      </x:c>
      <x:c r="F31" s="18" t="str">
        <x:v>릴스 3·클립·쇼츠 예약 발행. 사례·교재 장면 점검. 개인 계정에서 의견을 더해 자율 공유.</x:v>
      </x:c>
      <x:c r="G31" s="18" t="str">
        <x:v>무료 설명회에서 직접 확인할 것</x:v>
      </x:c>
      <x:c r="H31" s="18" t="str">
        <x:v>예약 발행 확인·기존 문의만 20~30분. 새 제안·맞팔 수량을 채우기 위한 활동 없음.</x:v>
      </x:c>
      <x:c r="I31" s="18" t="str">
        <x:v>새 타깃 수량보다 답글·실제 상담 우선</x:v>
      </x:c>
      <x:c r="J31" s="18" t="str">
        <x:v>예산 한도·오류만 확인, 불필요한 잦은 변경 금지</x:v>
      </x:c>
      <x:c r="K31" s="18" t="str">
        <x:v>기말 수·요청·채팅·체험·첫학습·지출·좋은 질문을 가능한 범위 기록</x:v>
      </x:c>
      <x:c r="L31" s="22" t="str">
        <x:v>미착수</x:v>
      </x:c>
      <x:c r="M31" s="18" t="n">
        <x:v>100</x:v>
      </x:c>
      <x:c r="N31" s="24"/>
      <x:c r="O31" s="24"/>
    </x:row>
    <x:row r="32" ht="115" customHeight="1">
      <x:c r="A32" s="18" t="n">
        <x:v>27</x:v>
      </x:c>
      <x:c r="B32" s="20" t="n">
        <x:v>46299</x:v>
      </x:c>
      <x:c r="C32" s="18" t="n">
        <x:v>4</x:v>
      </x:c>
      <x:c r="D32" s="18" t="str">
        <x:v>일</x:v>
      </x:c>
      <x:c r="E32" s="18" t="str">
        <x:v>휴식·가벼운 점검</x:v>
      </x:c>
      <x:c r="F32" s="18" t="str">
        <x:v>20~30분만 예약 발행·문의 확인. 콘텐츠 대량 제작·신규 영업 제안은 쉬기.</x:v>
      </x:c>
      <x:c r="G32" s="18" t="str">
        <x:v>스토리 질문/다음 주 예고</x:v>
      </x:c>
      <x:c r="H32" s="18" t="str">
        <x:v>예약 발행 확인·기존 문의만 20~30분. 새 제안·맞팔 수량을 채우기 위한 활동 없음.</x:v>
      </x:c>
      <x:c r="I32" s="18" t="str">
        <x:v>자율 공유 확인; 참여하지 않은 사람 추궁 금지</x:v>
      </x:c>
      <x:c r="J32" s="18" t="str">
        <x:v>이상 지출 때만 정지</x:v>
      </x:c>
      <x:c r="K32" s="18" t="str">
        <x:v>기말 수·요청·채팅·체험·첫학습·지출·좋은 질문을 가능한 범위 기록</x:v>
      </x:c>
      <x:c r="L32" s="22" t="str">
        <x:v>미착수</x:v>
      </x:c>
      <x:c r="M32" s="18" t="n">
        <x:v>30</x:v>
      </x:c>
      <x:c r="N32" s="24"/>
      <x:c r="O32" s="24"/>
    </x:row>
    <x:row r="33" ht="115" customHeight="1">
      <x:c r="A33" s="18" t="n">
        <x:v>28</x:v>
      </x:c>
      <x:c r="B33" s="20" t="n">
        <x:v>46300</x:v>
      </x:c>
      <x:c r="C33" s="18" t="n">
        <x:v>4</x:v>
      </x:c>
      <x:c r="D33" s="18" t="str">
        <x:v>월</x:v>
      </x:c>
      <x:c r="E33" s="18" t="str">
        <x:v>측정·다음 주 우선순위</x:v>
      </x:c>
      <x:c r="F33" s="18" t="str">
        <x:v>카드형 게시물 1개 발행. 순증·자료요청·채팅·체험·첫학습·지출 기록. 다음 주 원본 소재 선택.</x:v>
      </x:c>
      <x:c r="G33" s="18" t="str">
        <x:v>온라인 수업 선택 체크리스트</x:v>
      </x:c>
      <x:c r="H33" s="18" t="str">
        <x:v>관련 공개 블로그 5편·인스타 5개 읽기 → 실제 도움이 될 댓글 각 3개 이내. 새 관계·이웃 요청은 맞는 상대에게만 0~3건. 문의 2회 확인.</x:v>
      </x:c>
      <x:c r="I33" s="18" t="str">
        <x:v>10/1 설명회 목표 15명 신청. 참석·자료요청·채널추가 구분. 협업 실패 시 자체 세션.</x:v>
      </x:c>
      <x:c r="J33" s="18" t="str">
        <x:v>5~7일 단위 비교. 불리한 실험 종료·예산 미집행 허용</x:v>
      </x:c>
      <x:c r="K33" s="18" t="str">
        <x:v>기말 수·요청·채팅·체험·첫학습·지출·좋은 질문을 가능한 범위 기록</x:v>
      </x:c>
      <x:c r="L33" s="22" t="str">
        <x:v>미착수</x:v>
      </x:c>
      <x:c r="M33" s="18" t="n">
        <x:v>205</x:v>
      </x:c>
      <x:c r="N33" s="24"/>
      <x:c r="O33" s="24"/>
    </x:row>
    <x:row r="34" ht="115" customHeight="1">
      <x:c r="A34" s="18" t="n">
        <x:v>29</x:v>
      </x:c>
      <x:c r="B34" s="20" t="n">
        <x:v>46301</x:v>
      </x:c>
      <x:c r="C34" s="18" t="n">
        <x:v>5</x:v>
      </x:c>
      <x:c r="D34" s="18" t="str">
        <x:v>화</x:v>
      </x:c>
      <x:c r="E34" s="18" t="str">
        <x:v>핵심 글·이번 주 유입 입구</x:v>
      </x:c>
      <x:c r="F34" s="18" t="str">
        <x:v>블로그 A 발행. 키워드 의도와 실제 수업 예시 점검. 이번 주 자료·CTA 하나 선택.</x:v>
      </x:c>
      <x:c r="G34" s="18" t="str">
        <x:v>스크래치 다음 파이썬, 준비 상태를 살펴보는 질문</x:v>
      </x:c>
      <x:c r="H34" s="18" t="str">
        <x:v>관련 공개 블로그 5편·인스타 5개 읽기 → 실제 도움이 될 댓글 각 3개 이내. 새 관계·이웃 요청은 맞는 상대에게만 0~3건. 문의 2회 확인.</x:v>
      </x:c>
      <x:c r="I34" s="18" t="str">
        <x:v>수학과 파이썬 게시물의 자료요청·팔로우 반응 비교. 과목별 다음 편 약속을 달리함.</x:v>
      </x:c>
      <x:c r="J34" s="18" t="str">
        <x:v>전주 결과로 이번 주 광고 1~2매체 선택</x:v>
      </x:c>
      <x:c r="K34" s="18" t="str">
        <x:v>기말 수·요청·채팅·체험·첫학습·지출·좋은 질문을 가능한 범위 기록</x:v>
      </x:c>
      <x:c r="L34" s="22" t="str">
        <x:v>미착수</x:v>
      </x:c>
      <x:c r="M34" s="18" t="n">
        <x:v>205</x:v>
      </x:c>
      <x:c r="N34" s="24"/>
      <x:c r="O34" s="24"/>
    </x:row>
    <x:row r="35" ht="115" customHeight="1">
      <x:c r="A35" s="18" t="n">
        <x:v>30</x:v>
      </x:c>
      <x:c r="B35" s="20" t="n">
        <x:v>46302</x:v>
      </x:c>
      <x:c r="C35" s="18" t="n">
        <x:v>5</x:v>
      </x:c>
      <x:c r="D35" s="18" t="str">
        <x:v>수</x:v>
      </x:c>
      <x:c r="E35" s="18" t="str">
        <x:v>촬영·첫 영상 공개</x:v>
      </x:c>
      <x:c r="F35" s="18" t="str">
        <x:v>릴스 1 발행 → 클립에 내 블로그 링크 연결 → 쇼츠 원본 재배포. 3편 묶음 촬영.</x:v>
      </x:c>
      <x:c r="G35" s="18" t="str">
        <x:v>블록코딩을 했으면 바로 파이썬을 시작해도 될까요?</x:v>
      </x:c>
      <x:c r="H35" s="18" t="str">
        <x:v>관련 공개 블로그 5편·인스타 5개 읽기 → 실제 도움이 될 댓글 각 3개 이내. 새 관계·이웃 요청은 맞는 상대에게만 0~3건. 문의 2회 확인.</x:v>
      </x:c>
      <x:c r="I35" s="18" t="str">
        <x:v>코딩·홈스쿨·교육 계정 5곳 제안. 공동 영상 1개 발행 목표.</x:v>
      </x:c>
      <x:c r="J35" s="18" t="str">
        <x:v>선택 소재·연결·소진·신고 여부 확인</x:v>
      </x:c>
      <x:c r="K35" s="18" t="str">
        <x:v>기말 수·요청·채팅·체험·첫학습·지출·좋은 질문을 가능한 범위 기록</x:v>
      </x:c>
      <x:c r="L35" s="22" t="str">
        <x:v>미착수</x:v>
      </x:c>
      <x:c r="M35" s="18" t="n">
        <x:v>205</x:v>
      </x:c>
      <x:c r="N35" s="24"/>
      <x:c r="O35" s="24"/>
    </x:row>
    <x:row r="36" ht="115" customHeight="1">
      <x:c r="A36" s="18" t="n">
        <x:v>31</x:v>
      </x:c>
      <x:c r="B36" s="20" t="n">
        <x:v>46303</x:v>
      </x:c>
      <x:c r="C36" s="18" t="n">
        <x:v>5</x:v>
      </x:c>
      <x:c r="D36" s="18" t="str">
        <x:v>목</x:v>
      </x:c>
      <x:c r="E36" s="18" t="str">
        <x:v>두 번째 글·협업 안내</x:v>
      </x:c>
      <x:c r="F36" s="18" t="str">
        <x:v>블로그 B·카카오 소식 발행. 협업 자료 전달. 이번 주 자료 응답 템플릿 준비.</x:v>
      </x:c>
      <x:c r="G36" s="18" t="str">
        <x:v>초등학생 파이썬 수업: 복사하기와 직접 만들기의 차이</x:v>
      </x:c>
      <x:c r="H36" s="18" t="str">
        <x:v>관련 공개 블로그 5편·인스타 5개 읽기 → 실제 도움이 될 댓글 각 3개 이내. 새 관계·이웃 요청은 맞는 상대에게만 0~3건. 문의 2회 확인.</x:v>
      </x:c>
      <x:c r="I36" s="18" t="str">
        <x:v>코딩·홈스쿨·교육 계정 5곳 제안. 공동 영상 1개 발행 목표.</x:v>
      </x:c>
      <x:c r="J36" s="18" t="str">
        <x:v>모바일 광고 연결과 실제 폼 완료 시험</x:v>
      </x:c>
      <x:c r="K36" s="18" t="str">
        <x:v>기말 수·요청·채팅·체험·첫학습·지출·좋은 질문을 가능한 범위 기록</x:v>
      </x:c>
      <x:c r="L36" s="22" t="str">
        <x:v>미착수</x:v>
      </x:c>
      <x:c r="M36" s="18" t="n">
        <x:v>205</x:v>
      </x:c>
      <x:c r="N36" s="24"/>
      <x:c r="O36" s="24"/>
    </x:row>
    <x:row r="37" ht="115" customHeight="1">
      <x:c r="A37" s="18" t="n">
        <x:v>32</x:v>
      </x:c>
      <x:c r="B37" s="20" t="n">
        <x:v>46304</x:v>
      </x:c>
      <x:c r="C37" s="18" t="n">
        <x:v>5</x:v>
      </x:c>
      <x:c r="D37" s="18" t="str">
        <x:v>금</x:v>
      </x:c>
      <x:c r="E37" s="18" t="str">
        <x:v>두 번째 영상·질문 수집</x:v>
      </x:c>
      <x:c r="F37" s="18" t="str">
        <x:v>릴스 2·클립·쇼츠 발행. 스토리에 부모 질문 1개 수집. 요청자에게만 자료 회신.</x:v>
      </x:c>
      <x:c r="G37" s="18" t="str">
        <x:v>코드 한 줄을 바꾸면 생기는 일</x:v>
      </x:c>
      <x:c r="H37" s="18" t="str">
        <x:v>관련 공개 블로그 5편·인스타 5개 읽기 → 실제 도움이 될 댓글 각 3개 이내. 새 관계·이웃 요청은 맞는 상대에게만 0~3건. 문의 2회 확인.</x:v>
      </x:c>
      <x:c r="I37" s="18" t="str">
        <x:v>수학과 파이썬 게시물의 자료요청·팔로우 반응 비교. 과목별 다음 편 약속을 달리함.</x:v>
      </x:c>
      <x:c r="J37" s="18" t="str">
        <x:v>검색어·낭비 클릭·광고 문의 품질 확인</x:v>
      </x:c>
      <x:c r="K37" s="18" t="str">
        <x:v>기말 수·요청·채팅·체험·첫학습·지출·좋은 질문을 가능한 범위 기록</x:v>
      </x:c>
      <x:c r="L37" s="22" t="str">
        <x:v>미착수</x:v>
      </x:c>
      <x:c r="M37" s="18" t="n">
        <x:v>205</x:v>
      </x:c>
      <x:c r="N37" s="24"/>
      <x:c r="O37" s="24"/>
    </x:row>
    <x:row r="38" ht="115" customHeight="1">
      <x:c r="A38" s="18" t="n">
        <x:v>33</x:v>
      </x:c>
      <x:c r="B38" s="20" t="n">
        <x:v>46305</x:v>
      </x:c>
      <x:c r="C38" s="18" t="n">
        <x:v>5</x:v>
      </x:c>
      <x:c r="D38" s="18" t="str">
        <x:v>토</x:v>
      </x:c>
      <x:c r="E38" s="18" t="str">
        <x:v>세 번째 영상·자율 공유</x:v>
      </x:c>
      <x:c r="F38" s="18" t="str">
        <x:v>릴스 3·클립·쇼츠 예약 발행. 사례·교재 장면 점검. 개인 계정에서 의견을 더해 자율 공유.</x:v>
      </x:c>
      <x:c r="G38" s="18" t="str">
        <x:v>오류가 나면 학습은 끝일까요?</x:v>
      </x:c>
      <x:c r="H38" s="18" t="str">
        <x:v>예약 발행 확인·기존 문의만 20~30분. 새 제안·맞팔 수량을 채우기 위한 활동 없음.</x:v>
      </x:c>
      <x:c r="I38" s="18" t="str">
        <x:v>새 타깃 수량보다 답글·실제 상담 우선</x:v>
      </x:c>
      <x:c r="J38" s="18" t="str">
        <x:v>예산 한도·오류만 확인, 불필요한 잦은 변경 금지</x:v>
      </x:c>
      <x:c r="K38" s="18" t="str">
        <x:v>기말 수·요청·채팅·체험·첫학습·지출·좋은 질문을 가능한 범위 기록</x:v>
      </x:c>
      <x:c r="L38" s="22" t="str">
        <x:v>미착수</x:v>
      </x:c>
      <x:c r="M38" s="18" t="n">
        <x:v>100</x:v>
      </x:c>
      <x:c r="N38" s="24"/>
      <x:c r="O38" s="24"/>
    </x:row>
    <x:row r="39" ht="115" customHeight="1">
      <x:c r="A39" s="18" t="n">
        <x:v>34</x:v>
      </x:c>
      <x:c r="B39" s="20" t="n">
        <x:v>46306</x:v>
      </x:c>
      <x:c r="C39" s="18" t="n">
        <x:v>5</x:v>
      </x:c>
      <x:c r="D39" s="18" t="str">
        <x:v>일</x:v>
      </x:c>
      <x:c r="E39" s="18" t="str">
        <x:v>휴식·가벼운 점검</x:v>
      </x:c>
      <x:c r="F39" s="18" t="str">
        <x:v>20~30분만 예약 발행·문의 확인. 콘텐츠 대량 제작·신규 영업 제안은 쉬기.</x:v>
      </x:c>
      <x:c r="G39" s="18" t="str">
        <x:v>스토리 질문/다음 주 예고</x:v>
      </x:c>
      <x:c r="H39" s="18" t="str">
        <x:v>예약 발행 확인·기존 문의만 20~30분. 새 제안·맞팔 수량을 채우기 위한 활동 없음.</x:v>
      </x:c>
      <x:c r="I39" s="18" t="str">
        <x:v>자율 공유 확인; 참여하지 않은 사람 추궁 금지</x:v>
      </x:c>
      <x:c r="J39" s="18" t="str">
        <x:v>이상 지출 때만 정지</x:v>
      </x:c>
      <x:c r="K39" s="18" t="str">
        <x:v>기말 수·요청·채팅·체험·첫학습·지출·좋은 질문을 가능한 범위 기록</x:v>
      </x:c>
      <x:c r="L39" s="22" t="str">
        <x:v>미착수</x:v>
      </x:c>
      <x:c r="M39" s="18" t="n">
        <x:v>30</x:v>
      </x:c>
      <x:c r="N39" s="24"/>
      <x:c r="O39" s="24"/>
    </x:row>
    <x:row r="40" ht="115" customHeight="1">
      <x:c r="A40" s="18" t="n">
        <x:v>35</x:v>
      </x:c>
      <x:c r="B40" s="20" t="n">
        <x:v>46307</x:v>
      </x:c>
      <x:c r="C40" s="18" t="n">
        <x:v>5</x:v>
      </x:c>
      <x:c r="D40" s="18" t="str">
        <x:v>월</x:v>
      </x:c>
      <x:c r="E40" s="18" t="str">
        <x:v>측정·다음 주 우선순위</x:v>
      </x:c>
      <x:c r="F40" s="18" t="str">
        <x:v>카드형 게시물 1개 발행. 순증·자료요청·채팅·체험·첫학습·지출 기록. 다음 주 원본 소재 선택.</x:v>
      </x:c>
      <x:c r="G40" s="18" t="str">
        <x:v>파이썬 입문 준비 체크리스트</x:v>
      </x:c>
      <x:c r="H40" s="18" t="str">
        <x:v>관련 공개 블로그 5편·인스타 5개 읽기 → 실제 도움이 될 댓글 각 3개 이내. 새 관계·이웃 요청은 맞는 상대에게만 0~3건. 문의 2회 확인.</x:v>
      </x:c>
      <x:c r="I40" s="18" t="str">
        <x:v>수학/파이썬 자료요청당 비용과 첫학습률 비교. 낮은 조회만으로 과목 폐기 금지.</x:v>
      </x:c>
      <x:c r="J40" s="18" t="str">
        <x:v>5~7일 단위 비교. 불리한 실험 종료·예산 미집행 허용</x:v>
      </x:c>
      <x:c r="K40" s="18" t="str">
        <x:v>기말 수·요청·채팅·체험·첫학습·지출·좋은 질문을 가능한 범위 기록</x:v>
      </x:c>
      <x:c r="L40" s="22" t="str">
        <x:v>미착수</x:v>
      </x:c>
      <x:c r="M40" s="18" t="n">
        <x:v>205</x:v>
      </x:c>
      <x:c r="N40" s="24"/>
      <x:c r="O40" s="24"/>
    </x:row>
    <x:row r="41" ht="115" customHeight="1">
      <x:c r="A41" s="18" t="n">
        <x:v>36</x:v>
      </x:c>
      <x:c r="B41" s="20" t="n">
        <x:v>46308</x:v>
      </x:c>
      <x:c r="C41" s="18" t="n">
        <x:v>6</x:v>
      </x:c>
      <x:c r="D41" s="18" t="str">
        <x:v>화</x:v>
      </x:c>
      <x:c r="E41" s="18" t="str">
        <x:v>핵심 글·이번 주 유입 입구</x:v>
      </x:c>
      <x:c r="F41" s="18" t="str">
        <x:v>블로그 A 발행. 키워드 의도와 실제 수업 예시 점검. 이번 주 자료·CTA 하나 선택.</x:v>
      </x:c>
      <x:c r="G41" s="18" t="str">
        <x:v>책을 읽고 재미있었어로 끝날 때 이어갈 질문</x:v>
      </x:c>
      <x:c r="H41" s="18" t="str">
        <x:v>관련 공개 블로그 5편·인스타 5개 읽기 → 실제 도움이 될 댓글 각 3개 이내. 새 관계·이웃 요청은 맞는 상대에게만 0~3건. 문의 2회 확인.</x:v>
      </x:c>
      <x:c r="I41" s="18" t="str">
        <x:v>독서·홈스쿨 공개 커뮤니티의 실제 질문에 답하기. 학생 과정과 성인 세미나 모집 분리.</x:v>
      </x:c>
      <x:c r="J41" s="18" t="str">
        <x:v>전주 결과로 이번 주 광고 1~2매체 선택</x:v>
      </x:c>
      <x:c r="K41" s="18" t="str">
        <x:v>기말 수·요청·채팅·체험·첫학습·지출·좋은 질문을 가능한 범위 기록</x:v>
      </x:c>
      <x:c r="L41" s="22" t="str">
        <x:v>미착수</x:v>
      </x:c>
      <x:c r="M41" s="18" t="n">
        <x:v>205</x:v>
      </x:c>
      <x:c r="N41" s="24"/>
      <x:c r="O41" s="24"/>
    </x:row>
    <x:row r="42" ht="115" customHeight="1">
      <x:c r="A42" s="18" t="n">
        <x:v>37</x:v>
      </x:c>
      <x:c r="B42" s="20" t="n">
        <x:v>46309</x:v>
      </x:c>
      <x:c r="C42" s="18" t="n">
        <x:v>6</x:v>
      </x:c>
      <x:c r="D42" s="18" t="str">
        <x:v>수</x:v>
      </x:c>
      <x:c r="E42" s="18" t="str">
        <x:v>촬영·첫 영상 공개</x:v>
      </x:c>
      <x:c r="F42" s="18" t="str">
        <x:v>릴스 1 발행 → 클립에 내 블로그 링크 연결 → 쇼츠 원본 재배포. 3편 묶음 촬영.</x:v>
      </x:c>
      <x:c r="G42" s="18" t="str">
        <x:v>정답 없는 질문을 만드는 법</x:v>
      </x:c>
      <x:c r="H42" s="18" t="str">
        <x:v>관련 공개 블로그 5편·인스타 5개 읽기 → 실제 도움이 될 댓글 각 3개 이내. 새 관계·이웃 요청은 맞는 상대에게만 0~3건. 문의 2회 확인.</x:v>
      </x:c>
      <x:c r="I42" s="18" t="str">
        <x:v>독서모임·작은서점 등 공개 제휴창구 5곳. 단독 홍보보다 질문표·공동 대화 제안.</x:v>
      </x:c>
      <x:c r="J42" s="18" t="str">
        <x:v>선택 소재·연결·소진·신고 여부 확인</x:v>
      </x:c>
      <x:c r="K42" s="18" t="str">
        <x:v>기말 수·요청·채팅·체험·첫학습·지출·좋은 질문을 가능한 범위 기록</x:v>
      </x:c>
      <x:c r="L42" s="22" t="str">
        <x:v>미착수</x:v>
      </x:c>
      <x:c r="M42" s="18" t="n">
        <x:v>205</x:v>
      </x:c>
      <x:c r="N42" s="24"/>
      <x:c r="O42" s="24"/>
    </x:row>
    <x:row r="43" ht="115" customHeight="1">
      <x:c r="A43" s="18" t="n">
        <x:v>38</x:v>
      </x:c>
      <x:c r="B43" s="20" t="n">
        <x:v>46310</x:v>
      </x:c>
      <x:c r="C43" s="18" t="n">
        <x:v>6</x:v>
      </x:c>
      <x:c r="D43" s="18" t="str">
        <x:v>목</x:v>
      </x:c>
      <x:c r="E43" s="18" t="str">
        <x:v>두 번째 글·협업 안내</x:v>
      </x:c>
      <x:c r="F43" s="18" t="str">
        <x:v>블로그 B·카카오 소식 발행. 협업 자료 전달. 이번 주 자료 응답 템플릿 준비.</x:v>
      </x:c>
      <x:c r="G43" s="18" t="str">
        <x:v>고전읽기 수업의 대상과 실제 진행 방식</x:v>
      </x:c>
      <x:c r="H43" s="18" t="str">
        <x:v>관련 공개 블로그 5편·인스타 5개 읽기 → 실제 도움이 될 댓글 각 3개 이내. 새 관계·이웃 요청은 맞는 상대에게만 0~3건. 문의 2회 확인.</x:v>
      </x:c>
      <x:c r="I43" s="18" t="str">
        <x:v>독서모임·작은서점 등 공개 제휴창구 5곳. 단독 홍보보다 질문표·공동 대화 제안.</x:v>
      </x:c>
      <x:c r="J43" s="18" t="str">
        <x:v>모바일 광고 연결과 실제 폼 완료 시험</x:v>
      </x:c>
      <x:c r="K43" s="18" t="str">
        <x:v>기말 수·요청·채팅·체험·첫학습·지출·좋은 질문을 가능한 범위 기록</x:v>
      </x:c>
      <x:c r="L43" s="22" t="str">
        <x:v>미착수</x:v>
      </x:c>
      <x:c r="M43" s="18" t="n">
        <x:v>205</x:v>
      </x:c>
      <x:c r="N43" s="24"/>
      <x:c r="O43" s="24"/>
    </x:row>
    <x:row r="44" ht="115" customHeight="1">
      <x:c r="A44" s="18" t="n">
        <x:v>39</x:v>
      </x:c>
      <x:c r="B44" s="20" t="n">
        <x:v>46311</x:v>
      </x:c>
      <x:c r="C44" s="18" t="n">
        <x:v>6</x:v>
      </x:c>
      <x:c r="D44" s="18" t="str">
        <x:v>금</x:v>
      </x:c>
      <x:c r="E44" s="18" t="str">
        <x:v>두 번째 영상·질문 수집</x:v>
      </x:c>
      <x:c r="F44" s="18" t="str">
        <x:v>릴스 2·클립·쇼츠 발행. 스토리에 부모 질문 1개 수집. 요청자에게만 자료 회신. 카카오 홍보메시지 최대 1회: 적법한 대상·광고표시·수신거부·시간 확인.</x:v>
      </x:c>
      <x:c r="G44" s="18" t="str">
        <x:v>책 한 문장에서 대화 시작하기</x:v>
      </x:c>
      <x:c r="H44" s="18" t="str">
        <x:v>관련 공개 블로그 5편·인스타 5개 읽기 → 실제 도움이 될 댓글 각 3개 이내. 새 관계·이웃 요청은 맞는 상대에게만 0~3건. 문의 2회 확인.</x:v>
      </x:c>
      <x:c r="I44" s="18" t="str">
        <x:v>독서·홈스쿨 공개 커뮤니티의 실제 질문에 답하기. 학생 과정과 성인 세미나 모집 분리.</x:v>
      </x:c>
      <x:c r="J44" s="18" t="str">
        <x:v>검색어·낭비 클릭·광고 문의 품질 확인</x:v>
      </x:c>
      <x:c r="K44" s="18" t="str">
        <x:v>기말 수·요청·채팅·체험·첫학습·지출·좋은 질문을 가능한 범위 기록</x:v>
      </x:c>
      <x:c r="L44" s="22" t="str">
        <x:v>미착수</x:v>
      </x:c>
      <x:c r="M44" s="18" t="n">
        <x:v>205</x:v>
      </x:c>
      <x:c r="N44" s="24"/>
      <x:c r="O44" s="24"/>
    </x:row>
    <x:row r="45" ht="115" customHeight="1">
      <x:c r="A45" s="18" t="n">
        <x:v>40</x:v>
      </x:c>
      <x:c r="B45" s="20" t="n">
        <x:v>46312</x:v>
      </x:c>
      <x:c r="C45" s="18" t="n">
        <x:v>6</x:v>
      </x:c>
      <x:c r="D45" s="18" t="str">
        <x:v>토</x:v>
      </x:c>
      <x:c r="E45" s="18" t="str">
        <x:v>세 번째 영상·자율 공유</x:v>
      </x:c>
      <x:c r="F45" s="18" t="str">
        <x:v>릴스 3·클립·쇼츠 예약 발행. 사례·교재 장면 점검. 개인 계정에서 의견을 더해 자율 공유.</x:v>
      </x:c>
      <x:c r="G45" s="18" t="str">
        <x:v>고전읽기는 요약을 외우는 수업일까요?</x:v>
      </x:c>
      <x:c r="H45" s="18" t="str">
        <x:v>예약 발행 확인·기존 문의만 20~30분. 새 제안·맞팔 수량을 채우기 위한 활동 없음.</x:v>
      </x:c>
      <x:c r="I45" s="18" t="str">
        <x:v>새 타깃 수량보다 답글·실제 상담 우선</x:v>
      </x:c>
      <x:c r="J45" s="18" t="str">
        <x:v>예산 한도·오류만 확인, 불필요한 잦은 변경 금지</x:v>
      </x:c>
      <x:c r="K45" s="18" t="str">
        <x:v>기말 수·요청·채팅·체험·첫학습·지출·좋은 질문을 가능한 범위 기록</x:v>
      </x:c>
      <x:c r="L45" s="22" t="str">
        <x:v>미착수</x:v>
      </x:c>
      <x:c r="M45" s="18" t="n">
        <x:v>100</x:v>
      </x:c>
      <x:c r="N45" s="24"/>
      <x:c r="O45" s="24"/>
    </x:row>
    <x:row r="46" ht="115" customHeight="1">
      <x:c r="A46" s="18" t="n">
        <x:v>41</x:v>
      </x:c>
      <x:c r="B46" s="20" t="n">
        <x:v>46313</x:v>
      </x:c>
      <x:c r="C46" s="18" t="n">
        <x:v>6</x:v>
      </x:c>
      <x:c r="D46" s="18" t="str">
        <x:v>일</x:v>
      </x:c>
      <x:c r="E46" s="18" t="str">
        <x:v>휴식·가벼운 점검</x:v>
      </x:c>
      <x:c r="F46" s="18" t="str">
        <x:v>20~30분만 예약 발행·문의 확인. 콘텐츠 대량 제작·신규 영업 제안은 쉬기.</x:v>
      </x:c>
      <x:c r="G46" s="18" t="str">
        <x:v>스토리 질문/다음 주 예고</x:v>
      </x:c>
      <x:c r="H46" s="18" t="str">
        <x:v>예약 발행 확인·기존 문의만 20~30분. 새 제안·맞팔 수량을 채우기 위한 활동 없음.</x:v>
      </x:c>
      <x:c r="I46" s="18" t="str">
        <x:v>자율 공유 확인; 참여하지 않은 사람 추궁 금지</x:v>
      </x:c>
      <x:c r="J46" s="18" t="str">
        <x:v>이상 지출 때만 정지</x:v>
      </x:c>
      <x:c r="K46" s="18" t="str">
        <x:v>기말 수·요청·채팅·체험·첫학습·지출·좋은 질문을 가능한 범위 기록</x:v>
      </x:c>
      <x:c r="L46" s="22" t="str">
        <x:v>미착수</x:v>
      </x:c>
      <x:c r="M46" s="18" t="n">
        <x:v>30</x:v>
      </x:c>
      <x:c r="N46" s="24"/>
      <x:c r="O46" s="24"/>
    </x:row>
    <x:row r="47" ht="115" customHeight="1">
      <x:c r="A47" s="18" t="n">
        <x:v>42</x:v>
      </x:c>
      <x:c r="B47" s="20" t="n">
        <x:v>46314</x:v>
      </x:c>
      <x:c r="C47" s="18" t="n">
        <x:v>6</x:v>
      </x:c>
      <x:c r="D47" s="18" t="str">
        <x:v>월</x:v>
      </x:c>
      <x:c r="E47" s="18" t="str">
        <x:v>측정·다음 주 우선순위</x:v>
      </x:c>
      <x:c r="F47" s="18" t="str">
        <x:v>카드형 게시물 1개 발행. 순증·자료요청·채팅·체험·첫학습·지출 기록. 다음 주 원본 소재 선택.</x:v>
      </x:c>
      <x:c r="G47" s="18" t="str">
        <x:v>가족 독서 대화 질문 7개</x:v>
      </x:c>
      <x:c r="H47" s="18" t="str">
        <x:v>관련 공개 블로그 5편·인스타 5개 읽기 → 실제 도움이 될 댓글 각 3개 이내. 새 관계·이웃 요청은 맞는 상대에게만 0~3건. 문의 2회 확인.</x:v>
      </x:c>
      <x:c r="I47" s="18" t="str">
        <x:v>카카오 광고 채널추가와 첫채팅·자료열람을 함께 확인. 성인 독서 관심자를 아동수요로 계산하지 않음.</x:v>
      </x:c>
      <x:c r="J47" s="18" t="str">
        <x:v>5~7일 단위 비교. 불리한 실험 종료·예산 미집행 허용</x:v>
      </x:c>
      <x:c r="K47" s="18" t="str">
        <x:v>기말 수·요청·채팅·체험·첫학습·지출·좋은 질문을 가능한 범위 기록</x:v>
      </x:c>
      <x:c r="L47" s="22" t="str">
        <x:v>미착수</x:v>
      </x:c>
      <x:c r="M47" s="18" t="n">
        <x:v>205</x:v>
      </x:c>
      <x:c r="N47" s="24"/>
      <x:c r="O47" s="24"/>
    </x:row>
    <x:row r="48" ht="115" customHeight="1">
      <x:c r="A48" s="18" t="n">
        <x:v>43</x:v>
      </x:c>
      <x:c r="B48" s="20" t="n">
        <x:v>46315</x:v>
      </x:c>
      <x:c r="C48" s="18" t="n">
        <x:v>7</x:v>
      </x:c>
      <x:c r="D48" s="18" t="str">
        <x:v>화</x:v>
      </x:c>
      <x:c r="E48" s="18" t="str">
        <x:v>핵심 글·이번 주 유입 입구</x:v>
      </x:c>
      <x:c r="F48" s="18" t="str">
        <x:v>블로그 A 발행. 키워드 의도와 실제 수업 예시 점검. 이번 주 자료·CTA 하나 선택.</x:v>
      </x:c>
      <x:c r="G48" s="18" t="str">
        <x:v>아이가 같은 문제를 다시 틀릴 때 확인할 것</x:v>
      </x:c>
      <x:c r="H48" s="18" t="str">
        <x:v>관련 공개 블로그 5편·인스타 5개 읽기 → 실제 도움이 될 댓글 각 3개 이내. 새 관계·이웃 요청은 맞는 상대에게만 0~3건. 문의 2회 확인.</x:v>
      </x:c>
      <x:c r="I48" s="18" t="str">
        <x:v>10/22 파이썬 설명회 초대. 1회차 질문자를 무단 재홍보하지 않고 선택 구독자에게 안내.</x:v>
      </x:c>
      <x:c r="J48" s="18" t="str">
        <x:v>전주 결과로 이번 주 광고 1~2매체 선택</x:v>
      </x:c>
      <x:c r="K48" s="18" t="str">
        <x:v>기말 수·요청·채팅·체험·첫학습·지출·좋은 질문을 가능한 범위 기록</x:v>
      </x:c>
      <x:c r="L48" s="22" t="str">
        <x:v>미착수</x:v>
      </x:c>
      <x:c r="M48" s="18" t="n">
        <x:v>205</x:v>
      </x:c>
      <x:c r="N48" s="24"/>
      <x:c r="O48" s="24"/>
    </x:row>
    <x:row r="49" ht="115" customHeight="1">
      <x:c r="A49" s="18" t="n">
        <x:v>44</x:v>
      </x:c>
      <x:c r="B49" s="20" t="n">
        <x:v>46316</x:v>
      </x:c>
      <x:c r="C49" s="18" t="n">
        <x:v>7</x:v>
      </x:c>
      <x:c r="D49" s="18" t="str">
        <x:v>수</x:v>
      </x:c>
      <x:c r="E49" s="18" t="str">
        <x:v>촬영·첫 영상 공개</x:v>
      </x:c>
      <x:c r="F49" s="18" t="str">
        <x:v>릴스 1 발행 → 클립에 내 블로그 링크 연결 → 쇼츠 원본 재배포. 3편 묶음 촬영.</x:v>
      </x:c>
      <x:c r="G49" s="18" t="str">
        <x:v>피드백 전과 후: 달라진 풀이 한 줄</x:v>
      </x:c>
      <x:c r="H49" s="18" t="str">
        <x:v>관련 공개 블로그 5편·인스타 5개 읽기 → 실제 도움이 될 댓글 각 3개 이내. 새 관계·이웃 요청은 맞는 상대에게만 0~3건. 문의 2회 확인.</x:v>
      </x:c>
      <x:c r="I49" s="18" t="str">
        <x:v>코딩 계정과 공동게시 1개. 체험 협업은 솔직한 평가·대가 공개·긍정후기 강요 금지.</x:v>
      </x:c>
      <x:c r="J49" s="18" t="str">
        <x:v>선택 소재·연결·소진·신고 여부 확인</x:v>
      </x:c>
      <x:c r="K49" s="18" t="str">
        <x:v>기말 수·요청·채팅·체험·첫학습·지출·좋은 질문을 가능한 범위 기록</x:v>
      </x:c>
      <x:c r="L49" s="22" t="str">
        <x:v>미착수</x:v>
      </x:c>
      <x:c r="M49" s="18" t="n">
        <x:v>205</x:v>
      </x:c>
      <x:c r="N49" s="24"/>
      <x:c r="O49" s="24"/>
    </x:row>
    <x:row r="50" ht="115" customHeight="1">
      <x:c r="A50" s="18" t="n">
        <x:v>45</x:v>
      </x:c>
      <x:c r="B50" s="20" t="n">
        <x:v>46317</x:v>
      </x:c>
      <x:c r="C50" s="18" t="n">
        <x:v>7</x:v>
      </x:c>
      <x:c r="D50" s="18" t="str">
        <x:v>목</x:v>
      </x:c>
      <x:c r="E50" s="18" t="str">
        <x:v>두 번째 글·협업 안내</x:v>
      </x:c>
      <x:c r="F50" s="18" t="str">
        <x:v>블로그 B·카카오 소식 발행. 협업 자료 전달. 이번 주 자료 응답 템플릿 준비. 10/22(목) 20:00 제안: 블록코딩 다음 파이썬 설명회 40분; 20분 교육+10분 시연+10분 질문.</x:v>
      </x:c>
      <x:c r="G50" s="18" t="str">
        <x:v>파이썬 첫 작품을 만들며 배우는 오류 수정</x:v>
      </x:c>
      <x:c r="H50" s="18" t="str">
        <x:v>관련 공개 블로그 5편·인스타 5개 읽기 → 실제 도움이 될 댓글 각 3개 이내. 새 관계·이웃 요청은 맞는 상대에게만 0~3건. 문의 2회 확인.</x:v>
      </x:c>
      <x:c r="I50" s="18" t="str">
        <x:v>코딩 계정과 공동게시 1개. 체험 협업은 솔직한 평가·대가 공개·긍정후기 강요 금지.</x:v>
      </x:c>
      <x:c r="J50" s="18" t="str">
        <x:v>모바일 광고 연결과 실제 폼 완료 시험</x:v>
      </x:c>
      <x:c r="K50" s="18" t="str">
        <x:v>기말 수·요청·채팅·체험·첫학습·지출·좋은 질문을 가능한 범위 기록</x:v>
      </x:c>
      <x:c r="L50" s="22" t="str">
        <x:v>미착수</x:v>
      </x:c>
      <x:c r="M50" s="18" t="n">
        <x:v>250</x:v>
      </x:c>
      <x:c r="N50" s="24"/>
      <x:c r="O50" s="24"/>
    </x:row>
    <x:row r="51" ht="115" customHeight="1">
      <x:c r="A51" s="18" t="n">
        <x:v>46</x:v>
      </x:c>
      <x:c r="B51" s="20" t="n">
        <x:v>46318</x:v>
      </x:c>
      <x:c r="C51" s="18" t="n">
        <x:v>7</x:v>
      </x:c>
      <x:c r="D51" s="18" t="str">
        <x:v>금</x:v>
      </x:c>
      <x:c r="E51" s="18" t="str">
        <x:v>두 번째 영상·질문 수집</x:v>
      </x:c>
      <x:c r="F51" s="18" t="str">
        <x:v>릴스 2·클립·쇼츠 발행. 스토리에 부모 질문 1개 수집. 요청자에게만 자료 회신.</x:v>
      </x:c>
      <x:c r="G51" s="18" t="str">
        <x:v>작동하지 않는 코드를 같이 읽어봅니다</x:v>
      </x:c>
      <x:c r="H51" s="18" t="str">
        <x:v>관련 공개 블로그 5편·인스타 5개 읽기 → 실제 도움이 될 댓글 각 3개 이내. 새 관계·이웃 요청은 맞는 상대에게만 0~3건. 문의 2회 확인.</x:v>
      </x:c>
      <x:c r="I51" s="18" t="str">
        <x:v>10/22 파이썬 설명회 초대. 1회차 질문자를 무단 재홍보하지 않고 선택 구독자에게 안내.</x:v>
      </x:c>
      <x:c r="J51" s="18" t="str">
        <x:v>검색어·낭비 클릭·광고 문의 품질 확인</x:v>
      </x:c>
      <x:c r="K51" s="18" t="str">
        <x:v>기말 수·요청·채팅·체험·첫학습·지출·좋은 질문을 가능한 범위 기록</x:v>
      </x:c>
      <x:c r="L51" s="22" t="str">
        <x:v>미착수</x:v>
      </x:c>
      <x:c r="M51" s="18" t="n">
        <x:v>205</x:v>
      </x:c>
      <x:c r="N51" s="24"/>
      <x:c r="O51" s="24"/>
    </x:row>
    <x:row r="52" ht="115" customHeight="1">
      <x:c r="A52" s="18" t="n">
        <x:v>47</x:v>
      </x:c>
      <x:c r="B52" s="20" t="n">
        <x:v>46319</x:v>
      </x:c>
      <x:c r="C52" s="18" t="n">
        <x:v>7</x:v>
      </x:c>
      <x:c r="D52" s="18" t="str">
        <x:v>토</x:v>
      </x:c>
      <x:c r="E52" s="18" t="str">
        <x:v>세 번째 영상·자율 공유</x:v>
      </x:c>
      <x:c r="F52" s="18" t="str">
        <x:v>릴스 3·클립·쇼츠 예약 발행. 사례·교재 장면 점검. 개인 계정에서 의견을 더해 자율 공유.</x:v>
      </x:c>
      <x:c r="G52" s="18" t="str">
        <x:v>첫 체험에서 무엇을 관찰하면 좋을까요?</x:v>
      </x:c>
      <x:c r="H52" s="18" t="str">
        <x:v>예약 발행 확인·기존 문의만 20~30분. 새 제안·맞팔 수량을 채우기 위한 활동 없음.</x:v>
      </x:c>
      <x:c r="I52" s="18" t="str">
        <x:v>새 타깃 수량보다 답글·실제 상담 우선</x:v>
      </x:c>
      <x:c r="J52" s="18" t="str">
        <x:v>예산 한도·오류만 확인, 불필요한 잦은 변경 금지</x:v>
      </x:c>
      <x:c r="K52" s="18" t="str">
        <x:v>기말 수·요청·채팅·체험·첫학습·지출·좋은 질문을 가능한 범위 기록</x:v>
      </x:c>
      <x:c r="L52" s="22" t="str">
        <x:v>미착수</x:v>
      </x:c>
      <x:c r="M52" s="18" t="n">
        <x:v>100</x:v>
      </x:c>
      <x:c r="N52" s="24"/>
      <x:c r="O52" s="24"/>
    </x:row>
    <x:row r="53" ht="115" customHeight="1">
      <x:c r="A53" s="18" t="n">
        <x:v>48</x:v>
      </x:c>
      <x:c r="B53" s="20" t="n">
        <x:v>46320</x:v>
      </x:c>
      <x:c r="C53" s="18" t="n">
        <x:v>7</x:v>
      </x:c>
      <x:c r="D53" s="18" t="str">
        <x:v>일</x:v>
      </x:c>
      <x:c r="E53" s="18" t="str">
        <x:v>휴식·가벼운 점검</x:v>
      </x:c>
      <x:c r="F53" s="18" t="str">
        <x:v>20~30분만 예약 발행·문의 확인. 콘텐츠 대량 제작·신규 영업 제안은 쉬기.</x:v>
      </x:c>
      <x:c r="G53" s="18" t="str">
        <x:v>스토리 질문/다음 주 예고</x:v>
      </x:c>
      <x:c r="H53" s="18" t="str">
        <x:v>예약 발행 확인·기존 문의만 20~30분. 새 제안·맞팔 수량을 채우기 위한 활동 없음.</x:v>
      </x:c>
      <x:c r="I53" s="18" t="str">
        <x:v>자율 공유 확인; 참여하지 않은 사람 추궁 금지</x:v>
      </x:c>
      <x:c r="J53" s="18" t="str">
        <x:v>이상 지출 때만 정지</x:v>
      </x:c>
      <x:c r="K53" s="18" t="str">
        <x:v>기말 수·요청·채팅·체험·첫학습·지출·좋은 질문을 가능한 범위 기록</x:v>
      </x:c>
      <x:c r="L53" s="22" t="str">
        <x:v>미착수</x:v>
      </x:c>
      <x:c r="M53" s="18" t="n">
        <x:v>30</x:v>
      </x:c>
      <x:c r="N53" s="24"/>
      <x:c r="O53" s="24"/>
    </x:row>
    <x:row r="54" ht="115" customHeight="1">
      <x:c r="A54" s="18" t="n">
        <x:v>49</x:v>
      </x:c>
      <x:c r="B54" s="20" t="n">
        <x:v>46321</x:v>
      </x:c>
      <x:c r="C54" s="18" t="n">
        <x:v>7</x:v>
      </x:c>
      <x:c r="D54" s="18" t="str">
        <x:v>월</x:v>
      </x:c>
      <x:c r="E54" s="18" t="str">
        <x:v>측정·다음 주 우선순위</x:v>
      </x:c>
      <x:c r="F54" s="18" t="str">
        <x:v>카드형 게시물 1개 발행. 순증·자료요청·채팅·체험·첫학습·지출 기록. 다음 주 원본 소재 선택.</x:v>
      </x:c>
      <x:c r="G54" s="18" t="str">
        <x:v>체험 첫 주 관찰표</x:v>
      </x:c>
      <x:c r="H54" s="18" t="str">
        <x:v>관련 공개 블로그 5편·인스타 5개 읽기 → 실제 도움이 될 댓글 각 3개 이내. 새 관계·이웃 요청은 맞는 상대에게만 0~3건. 문의 2회 확인.</x:v>
      </x:c>
      <x:c r="I54" s="18" t="str">
        <x:v>설명회 신청 목표 20명. 실제 참가자의 첫학습과 주제별 유효 문의 확인.</x:v>
      </x:c>
      <x:c r="J54" s="18" t="str">
        <x:v>5~7일 단위 비교. 불리한 실험 종료·예산 미집행 허용</x:v>
      </x:c>
      <x:c r="K54" s="18" t="str">
        <x:v>기말 수·요청·채팅·체험·첫학습·지출·좋은 질문을 가능한 범위 기록</x:v>
      </x:c>
      <x:c r="L54" s="22" t="str">
        <x:v>미착수</x:v>
      </x:c>
      <x:c r="M54" s="18" t="n">
        <x:v>205</x:v>
      </x:c>
      <x:c r="N54" s="24"/>
      <x:c r="O54" s="24"/>
    </x:row>
    <x:row r="55" ht="115" customHeight="1">
      <x:c r="A55" s="18" t="n">
        <x:v>50</x:v>
      </x:c>
      <x:c r="B55" s="20" t="n">
        <x:v>46322</x:v>
      </x:c>
      <x:c r="C55" s="18" t="n">
        <x:v>8</x:v>
      </x:c>
      <x:c r="D55" s="18" t="str">
        <x:v>화</x:v>
      </x:c>
      <x:c r="E55" s="18" t="str">
        <x:v>핵심 글·이번 주 유입 입구</x:v>
      </x:c>
      <x:c r="F55" s="18" t="str">
        <x:v>블로그 A 발행. 키워드 의도와 실제 수업 예시 점검. 이번 주 자료·CTA 하나 선택.</x:v>
      </x:c>
      <x:c r="G55" s="18" t="str">
        <x:v>하루 한 문제, 답 대신 설명을 남기는 7일 활동</x:v>
      </x:c>
      <x:c r="H55" s="18" t="str">
        <x:v>관련 공개 블로그 5편·인스타 5개 읽기 → 실제 도움이 될 댓글 각 3개 이내. 새 관계·이웃 요청은 맞는 상대에게만 0~3건. 문의 2회 확인.</x:v>
      </x:c>
      <x:c r="I55" s="18" t="str">
        <x:v>10/27~11/2 실행. 참여는 보호자 중심; 공개 인증·학생 얼굴·친구 태그 의무 없음. 공유는 자율.</x:v>
      </x:c>
      <x:c r="J55" s="18" t="str">
        <x:v>전주 결과로 이번 주 광고 1~2매체 선택</x:v>
      </x:c>
      <x:c r="K55" s="18" t="str">
        <x:v>기말 수·요청·채팅·체험·첫학습·지출·좋은 질문을 가능한 범위 기록</x:v>
      </x:c>
      <x:c r="L55" s="22" t="str">
        <x:v>미착수</x:v>
      </x:c>
      <x:c r="M55" s="18" t="n">
        <x:v>205</x:v>
      </x:c>
      <x:c r="N55" s="24"/>
      <x:c r="O55" s="24"/>
    </x:row>
    <x:row r="56" ht="115" customHeight="1">
      <x:c r="A56" s="18" t="n">
        <x:v>51</x:v>
      </x:c>
      <x:c r="B56" s="20" t="n">
        <x:v>46323</x:v>
      </x:c>
      <x:c r="C56" s="18" t="n">
        <x:v>8</x:v>
      </x:c>
      <x:c r="D56" s="18" t="str">
        <x:v>수</x:v>
      </x:c>
      <x:c r="E56" s="18" t="str">
        <x:v>촬영·첫 영상 공개</x:v>
      </x:c>
      <x:c r="F56" s="18" t="str">
        <x:v>릴스 1 발행 → 클립에 내 블로그 링크 연결 → 쇼츠 원본 재배포. 3편 묶음 촬영.</x:v>
      </x:c>
      <x:c r="G56" s="18" t="str">
        <x:v>설명하기 1일차: 그림으로 보여주세요</x:v>
      </x:c>
      <x:c r="H56" s="18" t="str">
        <x:v>관련 공개 블로그 5편·인스타 5개 읽기 → 실제 도움이 될 댓글 각 3개 이내. 새 관계·이웃 요청은 맞는 상대에게만 0~3건. 문의 2회 확인.</x:v>
      </x:c>
      <x:c r="I56" s="18" t="str">
        <x:v>2개 협력처가 같은 활동표를 소개하도록 제안. 팔로우 품앗이가 아니라 자료 공동제공.</x:v>
      </x:c>
      <x:c r="J56" s="18" t="str">
        <x:v>선택 소재·연결·소진·신고 여부 확인</x:v>
      </x:c>
      <x:c r="K56" s="18" t="str">
        <x:v>기말 수·요청·채팅·체험·첫학습·지출·좋은 질문을 가능한 범위 기록</x:v>
      </x:c>
      <x:c r="L56" s="22" t="str">
        <x:v>미착수</x:v>
      </x:c>
      <x:c r="M56" s="18" t="n">
        <x:v>205</x:v>
      </x:c>
      <x:c r="N56" s="24"/>
      <x:c r="O56" s="24"/>
    </x:row>
    <x:row r="57" ht="115" customHeight="1">
      <x:c r="A57" s="18" t="n">
        <x:v>52</x:v>
      </x:c>
      <x:c r="B57" s="20" t="n">
        <x:v>46324</x:v>
      </x:c>
      <x:c r="C57" s="18" t="n">
        <x:v>8</x:v>
      </x:c>
      <x:c r="D57" s="18" t="str">
        <x:v>목</x:v>
      </x:c>
      <x:c r="E57" s="18" t="str">
        <x:v>두 번째 글·협업 안내</x:v>
      </x:c>
      <x:c r="F57" s="18" t="str">
        <x:v>블로그 B·카카오 소식 발행. 협업 자료 전달. 이번 주 자료 응답 템플릿 준비.</x:v>
      </x:c>
      <x:c r="G57" s="18" t="str">
        <x:v>집에서 실천하는 7일 설명하기: 참여 방법과 질문 모음</x:v>
      </x:c>
      <x:c r="H57" s="18" t="str">
        <x:v>관련 공개 블로그 5편·인스타 5개 읽기 → 실제 도움이 될 댓글 각 3개 이내. 새 관계·이웃 요청은 맞는 상대에게만 0~3건. 문의 2회 확인.</x:v>
      </x:c>
      <x:c r="I57" s="18" t="str">
        <x:v>2개 협력처가 같은 활동표를 소개하도록 제안. 팔로우 품앗이가 아니라 자료 공동제공.</x:v>
      </x:c>
      <x:c r="J57" s="18" t="str">
        <x:v>모바일 광고 연결과 실제 폼 완료 시험</x:v>
      </x:c>
      <x:c r="K57" s="18" t="str">
        <x:v>기말 수·요청·채팅·체험·첫학습·지출·좋은 질문을 가능한 범위 기록</x:v>
      </x:c>
      <x:c r="L57" s="22" t="str">
        <x:v>미착수</x:v>
      </x:c>
      <x:c r="M57" s="18" t="n">
        <x:v>205</x:v>
      </x:c>
      <x:c r="N57" s="24"/>
      <x:c r="O57" s="24"/>
    </x:row>
    <x:row r="58" ht="115" customHeight="1">
      <x:c r="A58" s="18" t="n">
        <x:v>53</x:v>
      </x:c>
      <x:c r="B58" s="20" t="n">
        <x:v>46325</x:v>
      </x:c>
      <x:c r="C58" s="18" t="n">
        <x:v>8</x:v>
      </x:c>
      <x:c r="D58" s="18" t="str">
        <x:v>금</x:v>
      </x:c>
      <x:c r="E58" s="18" t="str">
        <x:v>두 번째 영상·질문 수집</x:v>
      </x:c>
      <x:c r="F58" s="18" t="str">
        <x:v>릴스 2·클립·쇼츠 발행. 스토리에 부모 질문 1개 수집. 요청자에게만 자료 회신. 카카오 홍보메시지 최대 1회: 적법한 대상·광고표시·수신거부·시간 확인.</x:v>
      </x:c>
      <x:c r="G58" s="18" t="str">
        <x:v>설명하기 중간: 막혀도 괜찮은 질문</x:v>
      </x:c>
      <x:c r="H58" s="18" t="str">
        <x:v>관련 공개 블로그 5편·인스타 5개 읽기 → 실제 도움이 될 댓글 각 3개 이내. 새 관계·이웃 요청은 맞는 상대에게만 0~3건. 문의 2회 확인.</x:v>
      </x:c>
      <x:c r="I58" s="18" t="str">
        <x:v>10/27~11/2 실행. 참여는 보호자 중심; 공개 인증·학생 얼굴·친구 태그 의무 없음. 공유는 자율.</x:v>
      </x:c>
      <x:c r="J58" s="18" t="str">
        <x:v>검색어·낭비 클릭·광고 문의 품질 확인</x:v>
      </x:c>
      <x:c r="K58" s="18" t="str">
        <x:v>기말 수·요청·채팅·체험·첫학습·지출·좋은 질문을 가능한 범위 기록</x:v>
      </x:c>
      <x:c r="L58" s="22" t="str">
        <x:v>미착수</x:v>
      </x:c>
      <x:c r="M58" s="18" t="n">
        <x:v>205</x:v>
      </x:c>
      <x:c r="N58" s="24"/>
      <x:c r="O58" s="24"/>
    </x:row>
    <x:row r="59" ht="115" customHeight="1">
      <x:c r="A59" s="18" t="n">
        <x:v>54</x:v>
      </x:c>
      <x:c r="B59" s="20" t="n">
        <x:v>46326</x:v>
      </x:c>
      <x:c r="C59" s="18" t="n">
        <x:v>8</x:v>
      </x:c>
      <x:c r="D59" s="18" t="str">
        <x:v>토</x:v>
      </x:c>
      <x:c r="E59" s="18" t="str">
        <x:v>세 번째 영상·자율 공유</x:v>
      </x:c>
      <x:c r="F59" s="18" t="str">
        <x:v>릴스 3·클립·쇼츠 예약 발행. 사례·교재 장면 점검. 개인 계정에서 의견을 더해 자율 공유.</x:v>
      </x:c>
      <x:c r="G59" s="18" t="str">
        <x:v>설명하기 마지막: 처음과 비교해 볼 것</x:v>
      </x:c>
      <x:c r="H59" s="18" t="str">
        <x:v>예약 발행 확인·기존 문의만 20~30분. 새 제안·맞팔 수량을 채우기 위한 활동 없음.</x:v>
      </x:c>
      <x:c r="I59" s="18" t="str">
        <x:v>새 타깃 수량보다 답글·실제 상담 우선</x:v>
      </x:c>
      <x:c r="J59" s="18" t="str">
        <x:v>예산 한도·오류만 확인, 불필요한 잦은 변경 금지</x:v>
      </x:c>
      <x:c r="K59" s="18" t="str">
        <x:v>기말 수·요청·채팅·체험·첫학습·지출·좋은 질문을 가능한 범위 기록</x:v>
      </x:c>
      <x:c r="L59" s="22" t="str">
        <x:v>미착수</x:v>
      </x:c>
      <x:c r="M59" s="18" t="n">
        <x:v>100</x:v>
      </x:c>
      <x:c r="N59" s="24"/>
      <x:c r="O59" s="24"/>
    </x:row>
    <x:row r="60" ht="115" customHeight="1">
      <x:c r="A60" s="18" t="n">
        <x:v>55</x:v>
      </x:c>
      <x:c r="B60" s="20" t="n">
        <x:v>46327</x:v>
      </x:c>
      <x:c r="C60" s="18" t="n">
        <x:v>8</x:v>
      </x:c>
      <x:c r="D60" s="18" t="str">
        <x:v>일</x:v>
      </x:c>
      <x:c r="E60" s="18" t="str">
        <x:v>휴식·가벼운 점검</x:v>
      </x:c>
      <x:c r="F60" s="18" t="str">
        <x:v>20~30분만 예약 발행·문의 확인. 콘텐츠 대량 제작·신규 영업 제안은 쉬기.</x:v>
      </x:c>
      <x:c r="G60" s="18" t="str">
        <x:v>스토리 질문/다음 주 예고</x:v>
      </x:c>
      <x:c r="H60" s="18" t="str">
        <x:v>예약 발행 확인·기존 문의만 20~30분. 새 제안·맞팔 수량을 채우기 위한 활동 없음.</x:v>
      </x:c>
      <x:c r="I60" s="18" t="str">
        <x:v>자율 공유 확인; 참여하지 않은 사람 추궁 금지</x:v>
      </x:c>
      <x:c r="J60" s="18" t="str">
        <x:v>이상 지출 때만 정지</x:v>
      </x:c>
      <x:c r="K60" s="18" t="str">
        <x:v>기말 수·요청·채팅·체험·첫학습·지출·좋은 질문을 가능한 범위 기록</x:v>
      </x:c>
      <x:c r="L60" s="22" t="str">
        <x:v>미착수</x:v>
      </x:c>
      <x:c r="M60" s="18" t="n">
        <x:v>30</x:v>
      </x:c>
      <x:c r="N60" s="24"/>
      <x:c r="O60" s="24"/>
    </x:row>
    <x:row r="61" ht="115" customHeight="1">
      <x:c r="A61" s="18" t="n">
        <x:v>56</x:v>
      </x:c>
      <x:c r="B61" s="20" t="n">
        <x:v>46328</x:v>
      </x:c>
      <x:c r="C61" s="18" t="n">
        <x:v>8</x:v>
      </x:c>
      <x:c r="D61" s="18" t="str">
        <x:v>월</x:v>
      </x:c>
      <x:c r="E61" s="18" t="str">
        <x:v>측정·다음 주 우선순위</x:v>
      </x:c>
      <x:c r="F61" s="18" t="str">
        <x:v>카드형 게시물 1개 발행. 순증·자료요청·채팅·체험·첫학습·지출 기록. 다음 주 원본 소재 선택.</x:v>
      </x:c>
      <x:c r="G61" s="18" t="str">
        <x:v>7일 설명하기 활동표</x:v>
      </x:c>
      <x:c r="H61" s="18" t="str">
        <x:v>관련 공개 블로그 5편·인스타 5개 읽기 → 실제 도움이 될 댓글 각 3개 이내. 새 관계·이웃 요청은 맞는 상대에게만 0~3건. 문의 2회 확인.</x:v>
      </x:c>
      <x:c r="I61" s="18" t="str">
        <x:v>참여 목표 30가정은 계획 가정. 첫활동·3일참여·완료를 각각 기록, 완료효과 과장 금지.</x:v>
      </x:c>
      <x:c r="J61" s="18" t="str">
        <x:v>5~7일 단위 비교. 불리한 실험 종료·예산 미집행 허용</x:v>
      </x:c>
      <x:c r="K61" s="18" t="str">
        <x:v>기말 수·요청·채팅·체험·첫학습·지출·좋은 질문을 가능한 범위 기록</x:v>
      </x:c>
      <x:c r="L61" s="22" t="str">
        <x:v>미착수</x:v>
      </x:c>
      <x:c r="M61" s="18" t="n">
        <x:v>205</x:v>
      </x:c>
      <x:c r="N61" s="24"/>
      <x:c r="O61" s="24"/>
    </x:row>
    <x:row r="62" ht="115" customHeight="1">
      <x:c r="A62" s="18" t="n">
        <x:v>57</x:v>
      </x:c>
      <x:c r="B62" s="20" t="n">
        <x:v>46329</x:v>
      </x:c>
      <x:c r="C62" s="18" t="n">
        <x:v>9</x:v>
      </x:c>
      <x:c r="D62" s="18" t="str">
        <x:v>화</x:v>
      </x:c>
      <x:c r="E62" s="18" t="str">
        <x:v>핵심 글·이번 주 유입 입구</x:v>
      </x:c>
      <x:c r="F62" s="18" t="str">
        <x:v>블로그 A 발행. 키워드 의도와 실제 수업 예시 점검. 이번 주 자료·CTA 하나 선택.</x:v>
      </x:c>
      <x:c r="G62" s="18" t="str">
        <x:v>7일 설명하기에서 나온 질문과 운영자의 관찰</x:v>
      </x:c>
      <x:c r="H62" s="18" t="str">
        <x:v>관련 공개 블로그 5편·인스타 5개 읽기 → 실제 도움이 될 댓글 각 3개 이내. 새 관계·이웃 요청은 맞는 상대에게만 0~3건. 문의 2회 확인.</x:v>
      </x:c>
      <x:c r="I62" s="18" t="str">
        <x:v>참여 가정에 재배포 허락 요청. 공개 여부와 다음 체험 혜택을 연계하지 않음.</x:v>
      </x:c>
      <x:c r="J62" s="18" t="str">
        <x:v>전주 결과로 이번 주 광고 1~2매체 선택</x:v>
      </x:c>
      <x:c r="K62" s="18" t="str">
        <x:v>기말 수·요청·채팅·체험·첫학습·지출·좋은 질문을 가능한 범위 기록</x:v>
      </x:c>
      <x:c r="L62" s="22" t="str">
        <x:v>미착수</x:v>
      </x:c>
      <x:c r="M62" s="18" t="n">
        <x:v>205</x:v>
      </x:c>
      <x:c r="N62" s="24"/>
      <x:c r="O62" s="24"/>
    </x:row>
    <x:row r="63" ht="115" customHeight="1">
      <x:c r="A63" s="18" t="n">
        <x:v>58</x:v>
      </x:c>
      <x:c r="B63" s="20" t="n">
        <x:v>46330</x:v>
      </x:c>
      <x:c r="C63" s="18" t="n">
        <x:v>9</x:v>
      </x:c>
      <x:c r="D63" s="18" t="str">
        <x:v>수</x:v>
      </x:c>
      <x:c r="E63" s="18" t="str">
        <x:v>촬영·첫 영상 공개</x:v>
      </x:c>
      <x:c r="F63" s="18" t="str">
        <x:v>릴스 1 발행 → 클립에 내 블로그 링크 연결 → 쇼츠 원본 재배포. 3편 묶음 촬영.</x:v>
      </x:c>
      <x:c r="G63" s="18" t="str">
        <x:v>가장 많이 나온 질문 1개</x:v>
      </x:c>
      <x:c r="H63" s="18" t="str">
        <x:v>관련 공개 블로그 5편·인스타 5개 읽기 → 실제 도움이 될 댓글 각 3개 이내. 새 관계·이웃 요청은 맞는 상대에게만 0~3건. 문의 2회 확인.</x:v>
      </x:c>
      <x:c r="I63" s="18" t="str">
        <x:v>잘 맞았던 협력처와 2차 공동 콘텐츠. 새 후보 5곳에는 결과의 한계까지 포함.</x:v>
      </x:c>
      <x:c r="J63" s="18" t="str">
        <x:v>선택 소재·연결·소진·신고 여부 확인</x:v>
      </x:c>
      <x:c r="K63" s="18" t="str">
        <x:v>기말 수·요청·채팅·체험·첫학습·지출·좋은 질문을 가능한 범위 기록</x:v>
      </x:c>
      <x:c r="L63" s="22" t="str">
        <x:v>미착수</x:v>
      </x:c>
      <x:c r="M63" s="18" t="n">
        <x:v>205</x:v>
      </x:c>
      <x:c r="N63" s="24"/>
      <x:c r="O63" s="24"/>
    </x:row>
    <x:row r="64" ht="115" customHeight="1">
      <x:c r="A64" s="18" t="n">
        <x:v>59</x:v>
      </x:c>
      <x:c r="B64" s="20" t="n">
        <x:v>46331</x:v>
      </x:c>
      <x:c r="C64" s="18" t="n">
        <x:v>9</x:v>
      </x:c>
      <x:c r="D64" s="18" t="str">
        <x:v>목</x:v>
      </x:c>
      <x:c r="E64" s="18" t="str">
        <x:v>두 번째 글·협업 안내</x:v>
      </x:c>
      <x:c r="F64" s="18" t="str">
        <x:v>블로그 B·카카오 소식 발행. 협업 자료 전달. 이번 주 자료 응답 템플릿 준비.</x:v>
      </x:c>
      <x:c r="G64" s="18" t="str">
        <x:v>시작했지만 이어가지 못한 이유: 다음에는 이렇게 바꿉니다</x:v>
      </x:c>
      <x:c r="H64" s="18" t="str">
        <x:v>관련 공개 블로그 5편·인스타 5개 읽기 → 실제 도움이 될 댓글 각 3개 이내. 새 관계·이웃 요청은 맞는 상대에게만 0~3건. 문의 2회 확인.</x:v>
      </x:c>
      <x:c r="I64" s="18" t="str">
        <x:v>잘 맞았던 협력처와 2차 공동 콘텐츠. 새 후보 5곳에는 결과의 한계까지 포함.</x:v>
      </x:c>
      <x:c r="J64" s="18" t="str">
        <x:v>모바일 광고 연결과 실제 폼 완료 시험</x:v>
      </x:c>
      <x:c r="K64" s="18" t="str">
        <x:v>기말 수·요청·채팅·체험·첫학습·지출·좋은 질문을 가능한 범위 기록</x:v>
      </x:c>
      <x:c r="L64" s="22" t="str">
        <x:v>미착수</x:v>
      </x:c>
      <x:c r="M64" s="18" t="n">
        <x:v>205</x:v>
      </x:c>
      <x:c r="N64" s="24"/>
      <x:c r="O64" s="24"/>
    </x:row>
    <x:row r="65" ht="115" customHeight="1">
      <x:c r="A65" s="18" t="n">
        <x:v>60</x:v>
      </x:c>
      <x:c r="B65" s="20" t="n">
        <x:v>46332</x:v>
      </x:c>
      <x:c r="C65" s="18" t="n">
        <x:v>9</x:v>
      </x:c>
      <x:c r="D65" s="18" t="str">
        <x:v>금</x:v>
      </x:c>
      <x:c r="E65" s="18" t="str">
        <x:v>두 번째 영상·질문 수집</x:v>
      </x:c>
      <x:c r="F65" s="18" t="str">
        <x:v>릴스 2·클립·쇼츠 발행. 스토리에 부모 질문 1개 수집. 요청자에게만 자료 회신.</x:v>
      </x:c>
      <x:c r="G65" s="18" t="str">
        <x:v>실제 참여 기록에서 확인한 작은 변화</x:v>
      </x:c>
      <x:c r="H65" s="18" t="str">
        <x:v>관련 공개 블로그 5편·인스타 5개 읽기 → 실제 도움이 될 댓글 각 3개 이내. 새 관계·이웃 요청은 맞는 상대에게만 0~3건. 문의 2회 확인.</x:v>
      </x:c>
      <x:c r="I65" s="18" t="str">
        <x:v>참여 가정에 재배포 허락 요청. 공개 여부와 다음 체험 혜택을 연계하지 않음.</x:v>
      </x:c>
      <x:c r="J65" s="18" t="str">
        <x:v>검색어·낭비 클릭·광고 문의 품질 확인</x:v>
      </x:c>
      <x:c r="K65" s="18" t="str">
        <x:v>기말 수·요청·채팅·체험·첫학습·지출·좋은 질문을 가능한 범위 기록</x:v>
      </x:c>
      <x:c r="L65" s="22" t="str">
        <x:v>미착수</x:v>
      </x:c>
      <x:c r="M65" s="18" t="n">
        <x:v>205</x:v>
      </x:c>
      <x:c r="N65" s="24"/>
      <x:c r="O65" s="24"/>
    </x:row>
    <x:row r="66" ht="115" customHeight="1">
      <x:c r="A66" s="18" t="n">
        <x:v>61</x:v>
      </x:c>
      <x:c r="B66" s="20" t="n">
        <x:v>46333</x:v>
      </x:c>
      <x:c r="C66" s="18" t="n">
        <x:v>9</x:v>
      </x:c>
      <x:c r="D66" s="18" t="str">
        <x:v>토</x:v>
      </x:c>
      <x:c r="E66" s="18" t="str">
        <x:v>세 번째 영상·자율 공유</x:v>
      </x:c>
      <x:c r="F66" s="18" t="str">
        <x:v>릴스 3·클립·쇼츠 예약 발행. 사례·교재 장면 점검. 개인 계정에서 의견을 더해 자율 공유.</x:v>
      </x:c>
      <x:c r="G66" s="18" t="str">
        <x:v>활동을 못 마쳐도 남길 수 있는 것</x:v>
      </x:c>
      <x:c r="H66" s="18" t="str">
        <x:v>예약 발행 확인·기존 문의만 20~30분. 새 제안·맞팔 수량을 채우기 위한 활동 없음.</x:v>
      </x:c>
      <x:c r="I66" s="18" t="str">
        <x:v>새 타깃 수량보다 답글·실제 상담 우선</x:v>
      </x:c>
      <x:c r="J66" s="18" t="str">
        <x:v>예산 한도·오류만 확인, 불필요한 잦은 변경 금지</x:v>
      </x:c>
      <x:c r="K66" s="18" t="str">
        <x:v>기말 수·요청·채팅·체험·첫학습·지출·좋은 질문을 가능한 범위 기록</x:v>
      </x:c>
      <x:c r="L66" s="22" t="str">
        <x:v>미착수</x:v>
      </x:c>
      <x:c r="M66" s="18" t="n">
        <x:v>100</x:v>
      </x:c>
      <x:c r="N66" s="24"/>
      <x:c r="O66" s="24"/>
    </x:row>
    <x:row r="67" ht="115" customHeight="1">
      <x:c r="A67" s="18" t="n">
        <x:v>62</x:v>
      </x:c>
      <x:c r="B67" s="20" t="n">
        <x:v>46334</x:v>
      </x:c>
      <x:c r="C67" s="18" t="n">
        <x:v>9</x:v>
      </x:c>
      <x:c r="D67" s="18" t="str">
        <x:v>일</x:v>
      </x:c>
      <x:c r="E67" s="18" t="str">
        <x:v>휴식·가벼운 점검</x:v>
      </x:c>
      <x:c r="F67" s="18" t="str">
        <x:v>20~30분만 예약 발행·문의 확인. 콘텐츠 대량 제작·신규 영업 제안은 쉬기.</x:v>
      </x:c>
      <x:c r="G67" s="18" t="str">
        <x:v>스토리 질문/다음 주 예고</x:v>
      </x:c>
      <x:c r="H67" s="18" t="str">
        <x:v>예약 발행 확인·기존 문의만 20~30분. 새 제안·맞팔 수량을 채우기 위한 활동 없음.</x:v>
      </x:c>
      <x:c r="I67" s="18" t="str">
        <x:v>자율 공유 확인; 참여하지 않은 사람 추궁 금지</x:v>
      </x:c>
      <x:c r="J67" s="18" t="str">
        <x:v>이상 지출 때만 정지</x:v>
      </x:c>
      <x:c r="K67" s="18" t="str">
        <x:v>기말 수·요청·채팅·체험·첫학습·지출·좋은 질문을 가능한 범위 기록</x:v>
      </x:c>
      <x:c r="L67" s="22" t="str">
        <x:v>미착수</x:v>
      </x:c>
      <x:c r="M67" s="18" t="n">
        <x:v>30</x:v>
      </x:c>
      <x:c r="N67" s="24"/>
      <x:c r="O67" s="24"/>
    </x:row>
    <x:row r="68" ht="115" customHeight="1">
      <x:c r="A68" s="18" t="n">
        <x:v>63</x:v>
      </x:c>
      <x:c r="B68" s="20" t="n">
        <x:v>46335</x:v>
      </x:c>
      <x:c r="C68" s="18" t="n">
        <x:v>9</x:v>
      </x:c>
      <x:c r="D68" s="18" t="str">
        <x:v>월</x:v>
      </x:c>
      <x:c r="E68" s="18" t="str">
        <x:v>측정·다음 주 우선순위</x:v>
      </x:c>
      <x:c r="F68" s="18" t="str">
        <x:v>카드형 게시물 1개 발행. 순증·자료요청·채팅·체험·첫학습·지출 기록. 다음 주 원본 소재 선택.</x:v>
      </x:c>
      <x:c r="G68" s="18" t="str">
        <x:v>7일 활동 결과와 다음 개선점</x:v>
      </x:c>
      <x:c r="H68" s="18" t="str">
        <x:v>관련 공개 블로그 5편·인스타 5개 읽기 → 실제 도움이 될 댓글 각 3개 이내. 새 관계·이웃 요청은 맞는 상대에게만 0~3건. 문의 2회 확인.</x:v>
      </x:c>
      <x:c r="I68" s="18" t="str">
        <x:v>등록건뿐 아니라 미완료 사유를 적어 신청 동선 수정. 큰 행사보다 후속 관리 우선.</x:v>
      </x:c>
      <x:c r="J68" s="18" t="str">
        <x:v>5~7일 단위 비교. 불리한 실험 종료·예산 미집행 허용</x:v>
      </x:c>
      <x:c r="K68" s="18" t="str">
        <x:v>기말 수·요청·채팅·체험·첫학습·지출·좋은 질문을 가능한 범위 기록</x:v>
      </x:c>
      <x:c r="L68" s="22" t="str">
        <x:v>미착수</x:v>
      </x:c>
      <x:c r="M68" s="18" t="n">
        <x:v>205</x:v>
      </x:c>
      <x:c r="N68" s="24"/>
      <x:c r="O68" s="24"/>
    </x:row>
    <x:row r="69" ht="115" customHeight="1">
      <x:c r="A69" s="18" t="n">
        <x:v>64</x:v>
      </x:c>
      <x:c r="B69" s="20" t="n">
        <x:v>46336</x:v>
      </x:c>
      <x:c r="C69" s="18" t="n">
        <x:v>10</x:v>
      </x:c>
      <x:c r="D69" s="18" t="str">
        <x:v>화</x:v>
      </x:c>
      <x:c r="E69" s="18" t="str">
        <x:v>핵심 글·이번 주 유입 입구</x:v>
      </x:c>
      <x:c r="F69" s="18" t="str">
        <x:v>블로그 A 발행. 키워드 의도와 실제 수업 예시 점검. 이번 주 자료·CTA 하나 선택.</x:v>
      </x:c>
      <x:c r="G69" s="18" t="str">
        <x:v>공부 계획표를 지키지 못할 때 계획을 줄이는 방법</x:v>
      </x:c>
      <x:c r="H69" s="18" t="str">
        <x:v>관련 공개 블로그 5편·인스타 5개 읽기 → 실제 도움이 될 댓글 각 3개 이내. 새 관계·이웃 요청은 맞는 상대에게만 0~3건. 문의 2회 확인.</x:v>
      </x:c>
      <x:c r="I69" s="18" t="str">
        <x:v>11/12 계획표 워크숍. 블로그 기존 상위 글 2개에 새 질문·실제 화면 보완.</x:v>
      </x:c>
      <x:c r="J69" s="18" t="str">
        <x:v>전주 결과로 이번 주 광고 1~2매체 선택</x:v>
      </x:c>
      <x:c r="K69" s="18" t="str">
        <x:v>기말 수·요청·채팅·체험·첫학습·지출·좋은 질문을 가능한 범위 기록</x:v>
      </x:c>
      <x:c r="L69" s="22" t="str">
        <x:v>미착수</x:v>
      </x:c>
      <x:c r="M69" s="18" t="n">
        <x:v>205</x:v>
      </x:c>
      <x:c r="N69" s="24"/>
      <x:c r="O69" s="24"/>
    </x:row>
    <x:row r="70" ht="115" customHeight="1">
      <x:c r="A70" s="18" t="n">
        <x:v>65</x:v>
      </x:c>
      <x:c r="B70" s="20" t="n">
        <x:v>46337</x:v>
      </x:c>
      <x:c r="C70" s="18" t="n">
        <x:v>10</x:v>
      </x:c>
      <x:c r="D70" s="18" t="str">
        <x:v>수</x:v>
      </x:c>
      <x:c r="E70" s="18" t="str">
        <x:v>촬영·첫 영상 공개</x:v>
      </x:c>
      <x:c r="F70" s="18" t="str">
        <x:v>릴스 1 발행 → 클립에 내 블로그 링크 연결 → 쇼츠 원본 재배포. 3편 묶음 촬영.</x:v>
      </x:c>
      <x:c r="G70" s="18" t="str">
        <x:v>오늘 할 일을 하나만 고른다면?</x:v>
      </x:c>
      <x:c r="H70" s="18" t="str">
        <x:v>관련 공개 블로그 5편·인스타 5개 읽기 → 실제 도움이 될 댓글 각 3개 이내. 새 관계·이웃 요청은 맞는 상대에게만 0~3건. 문의 2회 확인.</x:v>
      </x:c>
      <x:c r="I70" s="18" t="str">
        <x:v>부모 교육·독서 계정 5곳 제안, 협업 1개 목표. Blogger에 검증된 질문 가이드 확장 1편.</x:v>
      </x:c>
      <x:c r="J70" s="18" t="str">
        <x:v>선택 소재·연결·소진·신고 여부 확인</x:v>
      </x:c>
      <x:c r="K70" s="18" t="str">
        <x:v>기말 수·요청·채팅·체험·첫학습·지출·좋은 질문을 가능한 범위 기록</x:v>
      </x:c>
      <x:c r="L70" s="22" t="str">
        <x:v>미착수</x:v>
      </x:c>
      <x:c r="M70" s="18" t="n">
        <x:v>205</x:v>
      </x:c>
      <x:c r="N70" s="24"/>
      <x:c r="O70" s="24"/>
    </x:row>
    <x:row r="71" ht="115" customHeight="1">
      <x:c r="A71" s="18" t="n">
        <x:v>66</x:v>
      </x:c>
      <x:c r="B71" s="20" t="n">
        <x:v>46338</x:v>
      </x:c>
      <x:c r="C71" s="18" t="n">
        <x:v>10</x:v>
      </x:c>
      <x:c r="D71" s="18" t="str">
        <x:v>목</x:v>
      </x:c>
      <x:c r="E71" s="18" t="str">
        <x:v>두 번째 글·협업 안내</x:v>
      </x:c>
      <x:c r="F71" s="18" t="str">
        <x:v>블로그 B·카카오 소식 발행. 협업 자료 전달. 이번 주 자료 응답 템플릿 준비. 11/12(목) 20:00 제안: 학부모 학습 계획표 워크숍 40분; 20분 교육+10분 시연+10분 질문.</x:v>
      </x:c>
      <x:c r="G71" s="18" t="str">
        <x:v>스스로 공부하는 아이를 돕는 부모의 질문</x:v>
      </x:c>
      <x:c r="H71" s="18" t="str">
        <x:v>관련 공개 블로그 5편·인스타 5개 읽기 → 실제 도움이 될 댓글 각 3개 이내. 새 관계·이웃 요청은 맞는 상대에게만 0~3건. 문의 2회 확인.</x:v>
      </x:c>
      <x:c r="I71" s="18" t="str">
        <x:v>부모 교육·독서 계정 5곳 제안, 협업 1개 목표. Blogger에 검증된 질문 가이드 확장 1편.</x:v>
      </x:c>
      <x:c r="J71" s="18" t="str">
        <x:v>모바일 광고 연결과 실제 폼 완료 시험</x:v>
      </x:c>
      <x:c r="K71" s="18" t="str">
        <x:v>기말 수·요청·채팅·체험·첫학습·지출·좋은 질문을 가능한 범위 기록</x:v>
      </x:c>
      <x:c r="L71" s="22" t="str">
        <x:v>미착수</x:v>
      </x:c>
      <x:c r="M71" s="18" t="n">
        <x:v>250</x:v>
      </x:c>
      <x:c r="N71" s="24"/>
      <x:c r="O71" s="24"/>
    </x:row>
    <x:row r="72" ht="115" customHeight="1">
      <x:c r="A72" s="18" t="n">
        <x:v>67</x:v>
      </x:c>
      <x:c r="B72" s="20" t="n">
        <x:v>46339</x:v>
      </x:c>
      <x:c r="C72" s="18" t="n">
        <x:v>10</x:v>
      </x:c>
      <x:c r="D72" s="18" t="str">
        <x:v>금</x:v>
      </x:c>
      <x:c r="E72" s="18" t="str">
        <x:v>두 번째 영상·질문 수집</x:v>
      </x:c>
      <x:c r="F72" s="18" t="str">
        <x:v>릴스 2·클립·쇼츠 발행. 스토리에 부모 질문 1개 수집. 요청자에게만 자료 회신. 카카오 홍보메시지 최대 1회: 적법한 대상·광고표시·수신거부·시간 확인.</x:v>
      </x:c>
      <x:c r="G72" s="18" t="str">
        <x:v>부모가 먼저 답을 말하지 않으려면</x:v>
      </x:c>
      <x:c r="H72" s="18" t="str">
        <x:v>관련 공개 블로그 5편·인스타 5개 읽기 → 실제 도움이 될 댓글 각 3개 이내. 새 관계·이웃 요청은 맞는 상대에게만 0~3건. 문의 2회 확인.</x:v>
      </x:c>
      <x:c r="I72" s="18" t="str">
        <x:v>11/12 계획표 워크숍. 블로그 기존 상위 글 2개에 새 질문·실제 화면 보완.</x:v>
      </x:c>
      <x:c r="J72" s="18" t="str">
        <x:v>검색어·낭비 클릭·광고 문의 품질 확인</x:v>
      </x:c>
      <x:c r="K72" s="18" t="str">
        <x:v>기말 수·요청·채팅·체험·첫학습·지출·좋은 질문을 가능한 범위 기록</x:v>
      </x:c>
      <x:c r="L72" s="22" t="str">
        <x:v>미착수</x:v>
      </x:c>
      <x:c r="M72" s="18" t="n">
        <x:v>205</x:v>
      </x:c>
      <x:c r="N72" s="24"/>
      <x:c r="O72" s="24"/>
    </x:row>
    <x:row r="73" ht="115" customHeight="1">
      <x:c r="A73" s="18" t="n">
        <x:v>68</x:v>
      </x:c>
      <x:c r="B73" s="20" t="n">
        <x:v>46340</x:v>
      </x:c>
      <x:c r="C73" s="18" t="n">
        <x:v>10</x:v>
      </x:c>
      <x:c r="D73" s="18" t="str">
        <x:v>토</x:v>
      </x:c>
      <x:c r="E73" s="18" t="str">
        <x:v>세 번째 영상·자율 공유</x:v>
      </x:c>
      <x:c r="F73" s="18" t="str">
        <x:v>릴스 3·클립·쇼츠 예약 발행. 사례·교재 장면 점검. 개인 계정에서 의견을 더해 자율 공유.</x:v>
      </x:c>
      <x:c r="G73" s="18" t="str">
        <x:v>기록에서 다음 할 일을 찾는 장면</x:v>
      </x:c>
      <x:c r="H73" s="18" t="str">
        <x:v>예약 발행 확인·기존 문의만 20~30분. 새 제안·맞팔 수량을 채우기 위한 활동 없음.</x:v>
      </x:c>
      <x:c r="I73" s="18" t="str">
        <x:v>새 타깃 수량보다 답글·실제 상담 우선</x:v>
      </x:c>
      <x:c r="J73" s="18" t="str">
        <x:v>예산 한도·오류만 확인, 불필요한 잦은 변경 금지</x:v>
      </x:c>
      <x:c r="K73" s="18" t="str">
        <x:v>기말 수·요청·채팅·체험·첫학습·지출·좋은 질문을 가능한 범위 기록</x:v>
      </x:c>
      <x:c r="L73" s="22" t="str">
        <x:v>미착수</x:v>
      </x:c>
      <x:c r="M73" s="18" t="n">
        <x:v>100</x:v>
      </x:c>
      <x:c r="N73" s="24"/>
      <x:c r="O73" s="24"/>
    </x:row>
    <x:row r="74" ht="115" customHeight="1">
      <x:c r="A74" s="18" t="n">
        <x:v>69</x:v>
      </x:c>
      <x:c r="B74" s="20" t="n">
        <x:v>46341</x:v>
      </x:c>
      <x:c r="C74" s="18" t="n">
        <x:v>10</x:v>
      </x:c>
      <x:c r="D74" s="18" t="str">
        <x:v>일</x:v>
      </x:c>
      <x:c r="E74" s="18" t="str">
        <x:v>휴식·가벼운 점검</x:v>
      </x:c>
      <x:c r="F74" s="18" t="str">
        <x:v>20~30분만 예약 발행·문의 확인. 콘텐츠 대량 제작·신규 영업 제안은 쉬기.</x:v>
      </x:c>
      <x:c r="G74" s="18" t="str">
        <x:v>스토리 질문/다음 주 예고</x:v>
      </x:c>
      <x:c r="H74" s="18" t="str">
        <x:v>예약 발행 확인·기존 문의만 20~30분. 새 제안·맞팔 수량을 채우기 위한 활동 없음.</x:v>
      </x:c>
      <x:c r="I74" s="18" t="str">
        <x:v>자율 공유 확인; 참여하지 않은 사람 추궁 금지</x:v>
      </x:c>
      <x:c r="J74" s="18" t="str">
        <x:v>이상 지출 때만 정지</x:v>
      </x:c>
      <x:c r="K74" s="18" t="str">
        <x:v>기말 수·요청·채팅·체험·첫학습·지출·좋은 질문을 가능한 범위 기록</x:v>
      </x:c>
      <x:c r="L74" s="22" t="str">
        <x:v>미착수</x:v>
      </x:c>
      <x:c r="M74" s="18" t="n">
        <x:v>30</x:v>
      </x:c>
      <x:c r="N74" s="24"/>
      <x:c r="O74" s="24"/>
    </x:row>
    <x:row r="75" ht="115" customHeight="1">
      <x:c r="A75" s="18" t="n">
        <x:v>70</x:v>
      </x:c>
      <x:c r="B75" s="20" t="n">
        <x:v>46342</x:v>
      </x:c>
      <x:c r="C75" s="18" t="n">
        <x:v>10</x:v>
      </x:c>
      <x:c r="D75" s="18" t="str">
        <x:v>월</x:v>
      </x:c>
      <x:c r="E75" s="18" t="str">
        <x:v>측정·다음 주 우선순위</x:v>
      </x:c>
      <x:c r="F75" s="18" t="str">
        <x:v>카드형 게시물 1개 발행. 순증·자료요청·채팅·체험·첫학습·지출 기록. 다음 주 원본 소재 선택.</x:v>
      </x:c>
      <x:c r="G75" s="18" t="str">
        <x:v>부모용 주간 학습 점검표</x:v>
      </x:c>
      <x:c r="H75" s="18" t="str">
        <x:v>관련 공개 블로그 5편·인스타 5개 읽기 → 실제 도움이 될 댓글 각 3개 이내. 새 관계·이웃 요청은 맞는 상대에게만 0~3건. 문의 2회 확인.</x:v>
      </x:c>
      <x:c r="I75" s="18" t="str">
        <x:v>워크숍 신청 목표 25명. 자료요청 후 추가 학습 관심이 있는지 확인.</x:v>
      </x:c>
      <x:c r="J75" s="18" t="str">
        <x:v>5~7일 단위 비교. 불리한 실험 종료·예산 미집행 허용</x:v>
      </x:c>
      <x:c r="K75" s="18" t="str">
        <x:v>기말 수·요청·채팅·체험·첫학습·지출·좋은 질문을 가능한 범위 기록</x:v>
      </x:c>
      <x:c r="L75" s="22" t="str">
        <x:v>미착수</x:v>
      </x:c>
      <x:c r="M75" s="18" t="n">
        <x:v>205</x:v>
      </x:c>
      <x:c r="N75" s="24"/>
      <x:c r="O75" s="24"/>
    </x:row>
    <x:row r="76" ht="115" customHeight="1">
      <x:c r="A76" s="18" t="n">
        <x:v>71</x:v>
      </x:c>
      <x:c r="B76" s="20" t="n">
        <x:v>46343</x:v>
      </x:c>
      <x:c r="C76" s="18" t="n">
        <x:v>11</x:v>
      </x:c>
      <x:c r="D76" s="18" t="str">
        <x:v>화</x:v>
      </x:c>
      <x:c r="E76" s="18" t="str">
        <x:v>핵심 글·이번 주 유입 입구</x:v>
      </x:c>
      <x:c r="F76" s="18" t="str">
        <x:v>블로그 A 발행. 키워드 의도와 실제 수업 예시 점검. 이번 주 자료·CTA 하나 선택.</x:v>
      </x:c>
      <x:c r="G76" s="18" t="str">
        <x:v>겨울방학 초등수학, 진도를 정하기 전에 확인할 것</x:v>
      </x:c>
      <x:c r="H76" s="18" t="str">
        <x:v>관련 공개 블로그 5편·인스타 5개 읽기 → 실제 도움이 될 댓글 각 3개 이내. 새 관계·이웃 요청은 맞는 상대에게만 0~3건. 문의 2회 확인.</x:v>
      </x:c>
      <x:c r="I76" s="18" t="str">
        <x:v>기존 글과 자료를 겨울 준비 맥락으로 연결. 실제 일정·정원 확정 전 마감 표현 금지.</x:v>
      </x:c>
      <x:c r="J76" s="18" t="str">
        <x:v>전주 결과로 이번 주 광고 1~2매체 선택</x:v>
      </x:c>
      <x:c r="K76" s="18" t="str">
        <x:v>기말 수·요청·채팅·체험·첫학습·지출·좋은 질문을 가능한 범위 기록</x:v>
      </x:c>
      <x:c r="L76" s="22" t="str">
        <x:v>미착수</x:v>
      </x:c>
      <x:c r="M76" s="18" t="n">
        <x:v>205</x:v>
      </x:c>
      <x:c r="N76" s="24"/>
      <x:c r="O76" s="24"/>
    </x:row>
    <x:row r="77" ht="115" customHeight="1">
      <x:c r="A77" s="18" t="n">
        <x:v>72</x:v>
      </x:c>
      <x:c r="B77" s="20" t="n">
        <x:v>46344</x:v>
      </x:c>
      <x:c r="C77" s="18" t="n">
        <x:v>11</x:v>
      </x:c>
      <x:c r="D77" s="18" t="str">
        <x:v>수</x:v>
      </x:c>
      <x:c r="E77" s="18" t="str">
        <x:v>촬영·첫 영상 공개</x:v>
      </x:c>
      <x:c r="F77" s="18" t="str">
        <x:v>릴스 1 발행 → 클립에 내 블로그 링크 연결 → 쇼츠 원본 재배포. 3편 묶음 촬영.</x:v>
      </x:c>
      <x:c r="G77" s="18" t="str">
        <x:v>겨울방학 계획을 한 페이지로 줄여봅니다</x:v>
      </x:c>
      <x:c r="H77" s="18" t="str">
        <x:v>관련 공개 블로그 5편·인스타 5개 읽기 → 실제 도움이 될 댓글 각 3개 이내. 새 관계·이웃 요청은 맞는 상대에게만 0~3건. 문의 2회 확인.</x:v>
      </x:c>
      <x:c r="I77" s="18" t="str">
        <x:v>교육 커뮤니티 1곳 유료 공지 시험. 회원수 대신 최근 관련글 조회·댓글·중복광고 확인.</x:v>
      </x:c>
      <x:c r="J77" s="18" t="str">
        <x:v>선택 소재·연결·소진·신고 여부 확인</x:v>
      </x:c>
      <x:c r="K77" s="18" t="str">
        <x:v>기말 수·요청·채팅·체험·첫학습·지출·좋은 질문을 가능한 범위 기록</x:v>
      </x:c>
      <x:c r="L77" s="22" t="str">
        <x:v>미착수</x:v>
      </x:c>
      <x:c r="M77" s="18" t="n">
        <x:v>205</x:v>
      </x:c>
      <x:c r="N77" s="24"/>
      <x:c r="O77" s="24"/>
    </x:row>
    <x:row r="78" ht="115" customHeight="1">
      <x:c r="A78" s="18" t="n">
        <x:v>73</x:v>
      </x:c>
      <x:c r="B78" s="20" t="n">
        <x:v>46345</x:v>
      </x:c>
      <x:c r="C78" s="18" t="n">
        <x:v>11</x:v>
      </x:c>
      <x:c r="D78" s="18" t="str">
        <x:v>목</x:v>
      </x:c>
      <x:c r="E78" s="18" t="str">
        <x:v>두 번째 글·협업 안내</x:v>
      </x:c>
      <x:c r="F78" s="18" t="str">
        <x:v>블로그 B·카카오 소식 발행. 협업 자료 전달. 이번 주 자료 응답 템플릿 준비.</x:v>
      </x:c>
      <x:c r="G78" s="18" t="str">
        <x:v>예비 학년 수학 준비: 설명해 볼 개념 목록</x:v>
      </x:c>
      <x:c r="H78" s="18" t="str">
        <x:v>관련 공개 블로그 5편·인스타 5개 읽기 → 실제 도움이 될 댓글 각 3개 이내. 새 관계·이웃 요청은 맞는 상대에게만 0~3건. 문의 2회 확인.</x:v>
      </x:c>
      <x:c r="I78" s="18" t="str">
        <x:v>교육 커뮤니티 1곳 유료 공지 시험. 회원수 대신 최근 관련글 조회·댓글·중복광고 확인.</x:v>
      </x:c>
      <x:c r="J78" s="18" t="str">
        <x:v>모바일 광고 연결과 실제 폼 완료 시험</x:v>
      </x:c>
      <x:c r="K78" s="18" t="str">
        <x:v>기말 수·요청·채팅·체험·첫학습·지출·좋은 질문을 가능한 범위 기록</x:v>
      </x:c>
      <x:c r="L78" s="22" t="str">
        <x:v>미착수</x:v>
      </x:c>
      <x:c r="M78" s="18" t="n">
        <x:v>205</x:v>
      </x:c>
      <x:c r="N78" s="24"/>
      <x:c r="O78" s="24"/>
    </x:row>
    <x:row r="79" ht="115" customHeight="1">
      <x:c r="A79" s="18" t="n">
        <x:v>74</x:v>
      </x:c>
      <x:c r="B79" s="20" t="n">
        <x:v>46346</x:v>
      </x:c>
      <x:c r="C79" s="18" t="n">
        <x:v>11</x:v>
      </x:c>
      <x:c r="D79" s="18" t="str">
        <x:v>금</x:v>
      </x:c>
      <x:c r="E79" s="18" t="str">
        <x:v>두 번째 영상·질문 수집</x:v>
      </x:c>
      <x:c r="F79" s="18" t="str">
        <x:v>릴스 2·클립·쇼츠 발행. 스토리에 부모 질문 1개 수집. 요청자에게만 자료 회신.</x:v>
      </x:c>
      <x:c r="G79" s="18" t="str">
        <x:v>예습 전에 확인할 수학 질문</x:v>
      </x:c>
      <x:c r="H79" s="18" t="str">
        <x:v>관련 공개 블로그 5편·인스타 5개 읽기 → 실제 도움이 될 댓글 각 3개 이내. 새 관계·이웃 요청은 맞는 상대에게만 0~3건. 문의 2회 확인.</x:v>
      </x:c>
      <x:c r="I79" s="18" t="str">
        <x:v>기존 글과 자료를 겨울 준비 맥락으로 연결. 실제 일정·정원 확정 전 마감 표현 금지.</x:v>
      </x:c>
      <x:c r="J79" s="18" t="str">
        <x:v>검색어·낭비 클릭·광고 문의 품질 확인</x:v>
      </x:c>
      <x:c r="K79" s="18" t="str">
        <x:v>기말 수·요청·채팅·체험·첫학습·지출·좋은 질문을 가능한 범위 기록</x:v>
      </x:c>
      <x:c r="L79" s="22" t="str">
        <x:v>미착수</x:v>
      </x:c>
      <x:c r="M79" s="18" t="n">
        <x:v>205</x:v>
      </x:c>
      <x:c r="N79" s="24"/>
      <x:c r="O79" s="24"/>
    </x:row>
    <x:row r="80" ht="115" customHeight="1">
      <x:c r="A80" s="18" t="n">
        <x:v>75</x:v>
      </x:c>
      <x:c r="B80" s="20" t="n">
        <x:v>46347</x:v>
      </x:c>
      <x:c r="C80" s="18" t="n">
        <x:v>11</x:v>
      </x:c>
      <x:c r="D80" s="18" t="str">
        <x:v>토</x:v>
      </x:c>
      <x:c r="E80" s="18" t="str">
        <x:v>세 번째 영상·자율 공유</x:v>
      </x:c>
      <x:c r="F80" s="18" t="str">
        <x:v>릴스 3·클립·쇼츠 예약 발행. 사례·교재 장면 점검. 개인 계정에서 의견을 더해 자율 공유.</x:v>
      </x:c>
      <x:c r="G80" s="18" t="str">
        <x:v>아이와 합의할 첫 학습 목표</x:v>
      </x:c>
      <x:c r="H80" s="18" t="str">
        <x:v>예약 발행 확인·기존 문의만 20~30분. 새 제안·맞팔 수량을 채우기 위한 활동 없음.</x:v>
      </x:c>
      <x:c r="I80" s="18" t="str">
        <x:v>새 타깃 수량보다 답글·실제 상담 우선</x:v>
      </x:c>
      <x:c r="J80" s="18" t="str">
        <x:v>예산 한도·오류만 확인, 불필요한 잦은 변경 금지</x:v>
      </x:c>
      <x:c r="K80" s="18" t="str">
        <x:v>기말 수·요청·채팅·체험·첫학습·지출·좋은 질문을 가능한 범위 기록</x:v>
      </x:c>
      <x:c r="L80" s="22" t="str">
        <x:v>미착수</x:v>
      </x:c>
      <x:c r="M80" s="18" t="n">
        <x:v>100</x:v>
      </x:c>
      <x:c r="N80" s="24"/>
      <x:c r="O80" s="24"/>
    </x:row>
    <x:row r="81" ht="115" customHeight="1">
      <x:c r="A81" s="18" t="n">
        <x:v>76</x:v>
      </x:c>
      <x:c r="B81" s="20" t="n">
        <x:v>46348</x:v>
      </x:c>
      <x:c r="C81" s="18" t="n">
        <x:v>11</x:v>
      </x:c>
      <x:c r="D81" s="18" t="str">
        <x:v>일</x:v>
      </x:c>
      <x:c r="E81" s="18" t="str">
        <x:v>휴식·가벼운 점검</x:v>
      </x:c>
      <x:c r="F81" s="18" t="str">
        <x:v>20~30분만 예약 발행·문의 확인. 콘텐츠 대량 제작·신규 영업 제안은 쉬기.</x:v>
      </x:c>
      <x:c r="G81" s="18" t="str">
        <x:v>스토리 질문/다음 주 예고</x:v>
      </x:c>
      <x:c r="H81" s="18" t="str">
        <x:v>예약 발행 확인·기존 문의만 20~30분. 새 제안·맞팔 수량을 채우기 위한 활동 없음.</x:v>
      </x:c>
      <x:c r="I81" s="18" t="str">
        <x:v>자율 공유 확인; 참여하지 않은 사람 추궁 금지</x:v>
      </x:c>
      <x:c r="J81" s="18" t="str">
        <x:v>이상 지출 때만 정지</x:v>
      </x:c>
      <x:c r="K81" s="18" t="str">
        <x:v>기말 수·요청·채팅·체험·첫학습·지출·좋은 질문을 가능한 범위 기록</x:v>
      </x:c>
      <x:c r="L81" s="22" t="str">
        <x:v>미착수</x:v>
      </x:c>
      <x:c r="M81" s="18" t="n">
        <x:v>30</x:v>
      </x:c>
      <x:c r="N81" s="24"/>
      <x:c r="O81" s="24"/>
    </x:row>
    <x:row r="82" ht="115" customHeight="1">
      <x:c r="A82" s="18" t="n">
        <x:v>77</x:v>
      </x:c>
      <x:c r="B82" s="20" t="n">
        <x:v>46349</x:v>
      </x:c>
      <x:c r="C82" s="18" t="n">
        <x:v>11</x:v>
      </x:c>
      <x:c r="D82" s="18" t="str">
        <x:v>월</x:v>
      </x:c>
      <x:c r="E82" s="18" t="str">
        <x:v>측정·다음 주 우선순위</x:v>
      </x:c>
      <x:c r="F82" s="18" t="str">
        <x:v>카드형 게시물 1개 발행. 순증·자료요청·채팅·체험·첫학습·지출 기록. 다음 주 원본 소재 선택.</x:v>
      </x:c>
      <x:c r="G82" s="18" t="str">
        <x:v>겨울방학 학습 선택 체크리스트</x:v>
      </x:c>
      <x:c r="H82" s="18" t="str">
        <x:v>관련 공개 블로그 5편·인스타 5개 읽기 → 실제 도움이 될 댓글 각 3개 이내. 새 관계·이웃 요청은 맞는 상대에게만 0~3건. 문의 2회 확인.</x:v>
      </x:c>
      <x:c r="I82" s="18" t="str">
        <x:v>매체별 순증과 상담 품질을 비교. 상위 2개 매체에 예산 재배치.</x:v>
      </x:c>
      <x:c r="J82" s="18" t="str">
        <x:v>5~7일 단위 비교. 불리한 실험 종료·예산 미집행 허용</x:v>
      </x:c>
      <x:c r="K82" s="18" t="str">
        <x:v>기말 수·요청·채팅·체험·첫학습·지출·좋은 질문을 가능한 범위 기록</x:v>
      </x:c>
      <x:c r="L82" s="22" t="str">
        <x:v>미착수</x:v>
      </x:c>
      <x:c r="M82" s="18" t="n">
        <x:v>205</x:v>
      </x:c>
      <x:c r="N82" s="24"/>
      <x:c r="O82" s="24"/>
    </x:row>
    <x:row r="83" ht="115" customHeight="1">
      <x:c r="A83" s="18" t="n">
        <x:v>78</x:v>
      </x:c>
      <x:c r="B83" s="20" t="n">
        <x:v>46350</x:v>
      </x:c>
      <x:c r="C83" s="18" t="n">
        <x:v>12</x:v>
      </x:c>
      <x:c r="D83" s="18" t="str">
        <x:v>화</x:v>
      </x:c>
      <x:c r="E83" s="18" t="str">
        <x:v>핵심 글·이번 주 유입 입구</x:v>
      </x:c>
      <x:c r="F83" s="18" t="str">
        <x:v>블로그 A 발행. 키워드 의도와 실제 수업 예시 점검. 이번 주 자료·CTA 하나 선택.</x:v>
      </x:c>
      <x:c r="G83" s="18" t="str">
        <x:v>겨울방학 파이썬: 첫 결과물까지 무엇을 배우나요?</x:v>
      </x:c>
      <x:c r="H83" s="18" t="str">
        <x:v>관련 공개 블로그 5편·인스타 5개 읽기 → 실제 도움이 될 댓글 각 3개 이내. 새 관계·이웃 요청은 맞는 상대에게만 0~3건. 문의 2회 확인.</x:v>
      </x:c>
      <x:c r="I83" s="18" t="str">
        <x:v>기존 반응 좋은 주제를 새 사례로 제작. 신규 대형 경품 대신 관심 맞는 자료와 설명회.</x:v>
      </x:c>
      <x:c r="J83" s="18" t="str">
        <x:v>전주 결과로 이번 주 광고 1~2매체 선택</x:v>
      </x:c>
      <x:c r="K83" s="18" t="str">
        <x:v>기말 수·요청·채팅·체험·첫학습·지출·좋은 질문을 가능한 범위 기록</x:v>
      </x:c>
      <x:c r="L83" s="22" t="str">
        <x:v>미착수</x:v>
      </x:c>
      <x:c r="M83" s="18" t="n">
        <x:v>205</x:v>
      </x:c>
      <x:c r="N83" s="24"/>
      <x:c r="O83" s="24"/>
    </x:row>
    <x:row r="84" ht="115" customHeight="1">
      <x:c r="A84" s="18" t="n">
        <x:v>79</x:v>
      </x:c>
      <x:c r="B84" s="20" t="n">
        <x:v>46351</x:v>
      </x:c>
      <x:c r="C84" s="18" t="n">
        <x:v>12</x:v>
      </x:c>
      <x:c r="D84" s="18" t="str">
        <x:v>수</x:v>
      </x:c>
      <x:c r="E84" s="18" t="str">
        <x:v>촬영·첫 영상 공개</x:v>
      </x:c>
      <x:c r="F84" s="18" t="str">
        <x:v>릴스 1 발행 → 클립에 내 블로그 링크 연결 → 쇼츠 원본 재배포. 3편 묶음 촬영.</x:v>
      </x:c>
      <x:c r="G84" s="18" t="str">
        <x:v>코드가 아니라 아이의 생각이 보이는 결과물</x:v>
      </x:c>
      <x:c r="H84" s="18" t="str">
        <x:v>관련 공개 블로그 5편·인스타 5개 읽기 → 실제 도움이 될 댓글 각 3개 이내. 새 관계·이웃 요청은 맞는 상대에게만 0~3건. 문의 2회 확인.</x:v>
      </x:c>
      <x:c r="I84" s="18" t="str">
        <x:v>성과 좋은 파트너 2곳에 재제안. 2차 사용권·광고표시·고유 링크·성과 공유 조건 확정.</x:v>
      </x:c>
      <x:c r="J84" s="18" t="str">
        <x:v>선택 소재·연결·소진·신고 여부 확인</x:v>
      </x:c>
      <x:c r="K84" s="18" t="str">
        <x:v>기말 수·요청·채팅·체험·첫학습·지출·좋은 질문을 가능한 범위 기록</x:v>
      </x:c>
      <x:c r="L84" s="22" t="str">
        <x:v>미착수</x:v>
      </x:c>
      <x:c r="M84" s="18" t="n">
        <x:v>205</x:v>
      </x:c>
      <x:c r="N84" s="24"/>
      <x:c r="O84" s="24"/>
    </x:row>
    <x:row r="85" ht="115" customHeight="1">
      <x:c r="A85" s="18" t="n">
        <x:v>80</x:v>
      </x:c>
      <x:c r="B85" s="20" t="n">
        <x:v>46352</x:v>
      </x:c>
      <x:c r="C85" s="18" t="n">
        <x:v>12</x:v>
      </x:c>
      <x:c r="D85" s="18" t="str">
        <x:v>목</x:v>
      </x:c>
      <x:c r="E85" s="18" t="str">
        <x:v>두 번째 글·협업 안내</x:v>
      </x:c>
      <x:c r="F85" s="18" t="str">
        <x:v>블로그 B·카카오 소식 발행. 협업 자료 전달. 이번 주 자료 응답 템플릿 준비.</x:v>
      </x:c>
      <x:c r="G85" s="18" t="str">
        <x:v>수업료보다 먼저 확인할 온라인 학습의 지원 방식</x:v>
      </x:c>
      <x:c r="H85" s="18" t="str">
        <x:v>관련 공개 블로그 5편·인스타 5개 읽기 → 실제 도움이 될 댓글 각 3개 이내. 새 관계·이웃 요청은 맞는 상대에게만 0~3건. 문의 2회 확인.</x:v>
      </x:c>
      <x:c r="I85" s="18" t="str">
        <x:v>성과 좋은 파트너 2곳에 재제안. 2차 사용권·광고표시·고유 링크·성과 공유 조건 확정.</x:v>
      </x:c>
      <x:c r="J85" s="18" t="str">
        <x:v>모바일 광고 연결과 실제 폼 완료 시험</x:v>
      </x:c>
      <x:c r="K85" s="18" t="str">
        <x:v>기말 수·요청·채팅·체험·첫학습·지출·좋은 질문을 가능한 범위 기록</x:v>
      </x:c>
      <x:c r="L85" s="22" t="str">
        <x:v>미착수</x:v>
      </x:c>
      <x:c r="M85" s="18" t="n">
        <x:v>205</x:v>
      </x:c>
      <x:c r="N85" s="24"/>
      <x:c r="O85" s="24"/>
    </x:row>
    <x:row r="86" ht="115" customHeight="1">
      <x:c r="A86" s="18" t="n">
        <x:v>81</x:v>
      </x:c>
      <x:c r="B86" s="20" t="n">
        <x:v>46353</x:v>
      </x:c>
      <x:c r="C86" s="18" t="n">
        <x:v>12</x:v>
      </x:c>
      <x:c r="D86" s="18" t="str">
        <x:v>금</x:v>
      </x:c>
      <x:c r="E86" s="18" t="str">
        <x:v>두 번째 영상·질문 수집</x:v>
      </x:c>
      <x:c r="F86" s="18" t="str">
        <x:v>릴스 2·클립·쇼츠 발행. 스토리에 부모 질문 1개 수집. 요청자에게만 자료 회신. 카카오 홍보메시지 최대 1회: 적법한 대상·광고표시·수신거부·시간 확인.</x:v>
      </x:c>
      <x:c r="G86" s="18" t="str">
        <x:v>실제 질문에 답하는 교사 Q&amp;A</x:v>
      </x:c>
      <x:c r="H86" s="18" t="str">
        <x:v>관련 공개 블로그 5편·인스타 5개 읽기 → 실제 도움이 될 댓글 각 3개 이내. 새 관계·이웃 요청은 맞는 상대에게만 0~3건. 문의 2회 확인.</x:v>
      </x:c>
      <x:c r="I86" s="18" t="str">
        <x:v>기존 반응 좋은 주제를 새 사례로 제작. 신규 대형 경품 대신 관심 맞는 자료와 설명회.</x:v>
      </x:c>
      <x:c r="J86" s="18" t="str">
        <x:v>검색어·낭비 클릭·광고 문의 품질 확인</x:v>
      </x:c>
      <x:c r="K86" s="18" t="str">
        <x:v>기말 수·요청·채팅·체험·첫학습·지출·좋은 질문을 가능한 범위 기록</x:v>
      </x:c>
      <x:c r="L86" s="22" t="str">
        <x:v>미착수</x:v>
      </x:c>
      <x:c r="M86" s="18" t="n">
        <x:v>205</x:v>
      </x:c>
      <x:c r="N86" s="24"/>
      <x:c r="O86" s="24"/>
    </x:row>
    <x:row r="87" ht="115" customHeight="1">
      <x:c r="A87" s="18" t="n">
        <x:v>82</x:v>
      </x:c>
      <x:c r="B87" s="20" t="n">
        <x:v>46354</x:v>
      </x:c>
      <x:c r="C87" s="18" t="n">
        <x:v>12</x:v>
      </x:c>
      <x:c r="D87" s="18" t="str">
        <x:v>토</x:v>
      </x:c>
      <x:c r="E87" s="18" t="str">
        <x:v>세 번째 영상·자율 공유</x:v>
      </x:c>
      <x:c r="F87" s="18" t="str">
        <x:v>릴스 3·클립·쇼츠 예약 발행. 사례·교재 장면 점검. 개인 계정에서 의견을 더해 자율 공유.</x:v>
      </x:c>
      <x:c r="G87" s="18" t="str">
        <x:v>온라인 학습 체험 전 확인할 3가지</x:v>
      </x:c>
      <x:c r="H87" s="18" t="str">
        <x:v>예약 발행 확인·기존 문의만 20~30분. 새 제안·맞팔 수량을 채우기 위한 활동 없음.</x:v>
      </x:c>
      <x:c r="I87" s="18" t="str">
        <x:v>새 타깃 수량보다 답글·실제 상담 우선</x:v>
      </x:c>
      <x:c r="J87" s="18" t="str">
        <x:v>예산 한도·오류만 확인, 불필요한 잦은 변경 금지</x:v>
      </x:c>
      <x:c r="K87" s="18" t="str">
        <x:v>기말 수·요청·채팅·체험·첫학습·지출·좋은 질문을 가능한 범위 기록</x:v>
      </x:c>
      <x:c r="L87" s="22" t="str">
        <x:v>미착수</x:v>
      </x:c>
      <x:c r="M87" s="18" t="n">
        <x:v>100</x:v>
      </x:c>
      <x:c r="N87" s="24"/>
      <x:c r="O87" s="24"/>
    </x:row>
    <x:row r="88" ht="115" customHeight="1">
      <x:c r="A88" s="18" t="n">
        <x:v>83</x:v>
      </x:c>
      <x:c r="B88" s="20" t="n">
        <x:v>46355</x:v>
      </x:c>
      <x:c r="C88" s="18" t="n">
        <x:v>12</x:v>
      </x:c>
      <x:c r="D88" s="18" t="str">
        <x:v>일</x:v>
      </x:c>
      <x:c r="E88" s="18" t="str">
        <x:v>휴식·가벼운 점검</x:v>
      </x:c>
      <x:c r="F88" s="18" t="str">
        <x:v>20~30분만 예약 발행·문의 확인. 콘텐츠 대량 제작·신규 영업 제안은 쉬기.</x:v>
      </x:c>
      <x:c r="G88" s="18" t="str">
        <x:v>스토리 질문/다음 주 예고</x:v>
      </x:c>
      <x:c r="H88" s="18" t="str">
        <x:v>예약 발행 확인·기존 문의만 20~30분. 새 제안·맞팔 수량을 채우기 위한 활동 없음.</x:v>
      </x:c>
      <x:c r="I88" s="18" t="str">
        <x:v>자율 공유 확인; 참여하지 않은 사람 추궁 금지</x:v>
      </x:c>
      <x:c r="J88" s="18" t="str">
        <x:v>이상 지출 때만 정지</x:v>
      </x:c>
      <x:c r="K88" s="18" t="str">
        <x:v>기말 수·요청·채팅·체험·첫학습·지출·좋은 질문을 가능한 범위 기록</x:v>
      </x:c>
      <x:c r="L88" s="22" t="str">
        <x:v>미착수</x:v>
      </x:c>
      <x:c r="M88" s="18" t="n">
        <x:v>30</x:v>
      </x:c>
      <x:c r="N88" s="24"/>
      <x:c r="O88" s="24"/>
    </x:row>
    <x:row r="89" ht="115" customHeight="1">
      <x:c r="A89" s="18" t="n">
        <x:v>84</x:v>
      </x:c>
      <x:c r="B89" s="20" t="n">
        <x:v>46356</x:v>
      </x:c>
      <x:c r="C89" s="18" t="n">
        <x:v>12</x:v>
      </x:c>
      <x:c r="D89" s="18" t="str">
        <x:v>월</x:v>
      </x:c>
      <x:c r="E89" s="18" t="str">
        <x:v>측정·다음 주 우선순위</x:v>
      </x:c>
      <x:c r="F89" s="18" t="str">
        <x:v>카드형 게시물 1개 발행. 순증·자료요청·채팅·체험·첫학습·지출 기록. 다음 주 원본 소재 선택.</x:v>
      </x:c>
      <x:c r="G89" s="18" t="str">
        <x:v>수학·파이썬·고전읽기 선택 가이드</x:v>
      </x:c>
      <x:c r="H89" s="18" t="str">
        <x:v>관련 공개 블로그 5편·인스타 5개 읽기 → 실제 도움이 될 댓글 각 3개 이내. 새 관계·이웃 요청은 맞는 상대에게만 0~3건. 문의 2회 확인.</x:v>
      </x:c>
      <x:c r="I89" s="18" t="str">
        <x:v>실제 체험 수용량을 확인. 관심만 모으고 시작 지원 못 하면 모집 예산 감액.</x:v>
      </x:c>
      <x:c r="J89" s="18" t="str">
        <x:v>5~7일 단위 비교. 불리한 실험 종료·예산 미집행 허용</x:v>
      </x:c>
      <x:c r="K89" s="18" t="str">
        <x:v>기말 수·요청·채팅·체험·첫학습·지출·좋은 질문을 가능한 범위 기록</x:v>
      </x:c>
      <x:c r="L89" s="22" t="str">
        <x:v>미착수</x:v>
      </x:c>
      <x:c r="M89" s="18" t="n">
        <x:v>205</x:v>
      </x:c>
      <x:c r="N89" s="24"/>
      <x:c r="O89" s="24"/>
    </x:row>
    <x:row r="90" ht="115" customHeight="1">
      <x:c r="A90" s="18" t="n">
        <x:v>85</x:v>
      </x:c>
      <x:c r="B90" s="20" t="n">
        <x:v>46357</x:v>
      </x:c>
      <x:c r="C90" s="18" t="n">
        <x:v>13</x:v>
      </x:c>
      <x:c r="D90" s="18" t="str">
        <x:v>화</x:v>
      </x:c>
      <x:c r="E90" s="18" t="str">
        <x:v>핵심 글·이번 주 유입 입구</x:v>
      </x:c>
      <x:c r="F90" s="18" t="str">
        <x:v>블로그 A 발행. 키워드 의도와 실제 수업 예시 점검. 이번 주 자료·CTA 하나 선택.</x:v>
      </x:c>
      <x:c r="G90" s="18" t="str">
        <x:v>우리 아이 겨울방학 계획, 세 과정을 비교해 고르는 법</x:v>
      </x:c>
      <x:c r="H90" s="18" t="str">
        <x:v>관련 공개 블로그 5편·인스타 5개 읽기 → 실제 도움이 될 댓글 각 3개 이내. 새 관계·이웃 요청은 맞는 상대에게만 0~3건. 문의 2회 확인.</x:v>
      </x:c>
      <x:c r="I90" s="18" t="str">
        <x:v>협력처와 공개 안내 2회. 참석자에게 한 번에 3채널 추가 요구하지 않음. 다음 질문에 맞는 채널 하나 제안.</x:v>
      </x:c>
      <x:c r="J90" s="18" t="str">
        <x:v>전주 결과로 이번 주 광고 1~2매체 선택</x:v>
      </x:c>
      <x:c r="K90" s="18" t="str">
        <x:v>기말 수·요청·채팅·체험·첫학습·지출·좋은 질문을 가능한 범위 기록</x:v>
      </x:c>
      <x:c r="L90" s="22" t="str">
        <x:v>미착수</x:v>
      </x:c>
      <x:c r="M90" s="18" t="n">
        <x:v>205</x:v>
      </x:c>
      <x:c r="N90" s="24"/>
      <x:c r="O90" s="24"/>
    </x:row>
    <x:row r="91" ht="115" customHeight="1">
      <x:c r="A91" s="18" t="n">
        <x:v>86</x:v>
      </x:c>
      <x:c r="B91" s="20" t="n">
        <x:v>46358</x:v>
      </x:c>
      <x:c r="C91" s="18" t="n">
        <x:v>13</x:v>
      </x:c>
      <x:c r="D91" s="18" t="str">
        <x:v>수</x:v>
      </x:c>
      <x:c r="E91" s="18" t="str">
        <x:v>촬영·첫 영상 공개</x:v>
      </x:c>
      <x:c r="F91" s="18" t="str">
        <x:v>릴스 1 발행 → 클립에 내 블로그 링크 연결 → 쇼츠 원본 재배포. 3편 묶음 촬영.</x:v>
      </x:c>
      <x:c r="G91" s="18" t="str">
        <x:v>수학 공개 수업 한 장면</x:v>
      </x:c>
      <x:c r="H91" s="18" t="str">
        <x:v>관련 공개 블로그 5편·인스타 5개 읽기 → 실제 도움이 될 댓글 각 3개 이내. 새 관계·이웃 요청은 맞는 상대에게만 0~3건. 문의 2회 확인.</x:v>
      </x:c>
      <x:c r="I91" s="18" t="str">
        <x:v>이전 협력처·기존 개인 독자에게 공개 공지 재활용. 후기 게시를 참가 조건으로 요구하지 않음.</x:v>
      </x:c>
      <x:c r="J91" s="18" t="str">
        <x:v>선택 소재·연결·소진·신고 여부 확인</x:v>
      </x:c>
      <x:c r="K91" s="18" t="str">
        <x:v>기말 수·요청·채팅·체험·첫학습·지출·좋은 질문을 가능한 범위 기록</x:v>
      </x:c>
      <x:c r="L91" s="22" t="str">
        <x:v>미착수</x:v>
      </x:c>
      <x:c r="M91" s="18" t="n">
        <x:v>205</x:v>
      </x:c>
      <x:c r="N91" s="24"/>
      <x:c r="O91" s="24"/>
    </x:row>
    <x:row r="92" ht="115" customHeight="1">
      <x:c r="A92" s="18" t="n">
        <x:v>87</x:v>
      </x:c>
      <x:c r="B92" s="20" t="n">
        <x:v>46359</x:v>
      </x:c>
      <x:c r="C92" s="18" t="n">
        <x:v>13</x:v>
      </x:c>
      <x:c r="D92" s="18" t="str">
        <x:v>목</x:v>
      </x:c>
      <x:c r="E92" s="18" t="str">
        <x:v>두 번째 글·협업 안내</x:v>
      </x:c>
      <x:c r="F92" s="18" t="str">
        <x:v>블로그 B·카카오 소식 발행. 협업 자료 전달. 이번 주 자료 응답 템플릿 준비. 12/3(목) 20:00 제안: 겨울방학 공개 수업 40분; 20분 교육+10분 시연+10분 질문.</x:v>
      </x:c>
      <x:c r="G92" s="18" t="str">
        <x:v>겨울방학 공개 수업에서 학부모가 확인할 장면</x:v>
      </x:c>
      <x:c r="H92" s="18" t="str">
        <x:v>관련 공개 블로그 5편·인스타 5개 읽기 → 실제 도움이 될 댓글 각 3개 이내. 새 관계·이웃 요청은 맞는 상대에게만 0~3건. 문의 2회 확인.</x:v>
      </x:c>
      <x:c r="I92" s="18" t="str">
        <x:v>이전 협력처·기존 개인 독자에게 공개 공지 재활용. 후기 게시를 참가 조건으로 요구하지 않음.</x:v>
      </x:c>
      <x:c r="J92" s="18" t="str">
        <x:v>모바일 광고 연결과 실제 폼 완료 시험</x:v>
      </x:c>
      <x:c r="K92" s="18" t="str">
        <x:v>기말 수·요청·채팅·체험·첫학습·지출·좋은 질문을 가능한 범위 기록</x:v>
      </x:c>
      <x:c r="L92" s="22" t="str">
        <x:v>미착수</x:v>
      </x:c>
      <x:c r="M92" s="18" t="n">
        <x:v>250</x:v>
      </x:c>
      <x:c r="N92" s="24"/>
      <x:c r="O92" s="24"/>
    </x:row>
    <x:row r="93" ht="115" customHeight="1">
      <x:c r="A93" s="18" t="n">
        <x:v>88</x:v>
      </x:c>
      <x:c r="B93" s="20" t="n">
        <x:v>46360</x:v>
      </x:c>
      <x:c r="C93" s="18" t="n">
        <x:v>13</x:v>
      </x:c>
      <x:c r="D93" s="18" t="str">
        <x:v>금</x:v>
      </x:c>
      <x:c r="E93" s="18" t="str">
        <x:v>두 번째 영상·질문 수집</x:v>
      </x:c>
      <x:c r="F93" s="18" t="str">
        <x:v>릴스 2·클립·쇼츠 발행. 스토리에 부모 질문 1개 수집. 요청자에게만 자료 회신.</x:v>
      </x:c>
      <x:c r="G93" s="18" t="str">
        <x:v>파이썬 공개 수업 한 장면</x:v>
      </x:c>
      <x:c r="H93" s="18" t="str">
        <x:v>관련 공개 블로그 5편·인스타 5개 읽기 → 실제 도움이 될 댓글 각 3개 이내. 새 관계·이웃 요청은 맞는 상대에게만 0~3건. 문의 2회 확인.</x:v>
      </x:c>
      <x:c r="I93" s="18" t="str">
        <x:v>협력처와 공개 안내 2회. 참석자에게 한 번에 3채널 추가 요구하지 않음. 다음 질문에 맞는 채널 하나 제안.</x:v>
      </x:c>
      <x:c r="J93" s="18" t="str">
        <x:v>검색어·낭비 클릭·광고 문의 품질 확인</x:v>
      </x:c>
      <x:c r="K93" s="18" t="str">
        <x:v>기말 수·요청·채팅·체험·첫학습·지출·좋은 질문을 가능한 범위 기록</x:v>
      </x:c>
      <x:c r="L93" s="22" t="str">
        <x:v>미착수</x:v>
      </x:c>
      <x:c r="M93" s="18" t="n">
        <x:v>205</x:v>
      </x:c>
      <x:c r="N93" s="24"/>
      <x:c r="O93" s="24"/>
    </x:row>
    <x:row r="94" ht="115" customHeight="1">
      <x:c r="A94" s="18" t="n">
        <x:v>89</x:v>
      </x:c>
      <x:c r="B94" s="20" t="n">
        <x:v>46361</x:v>
      </x:c>
      <x:c r="C94" s="18" t="n">
        <x:v>13</x:v>
      </x:c>
      <x:c r="D94" s="18" t="str">
        <x:v>토</x:v>
      </x:c>
      <x:c r="E94" s="18" t="str">
        <x:v>세 번째 영상·자율 공유</x:v>
      </x:c>
      <x:c r="F94" s="18" t="str">
        <x:v>릴스 3·클립·쇼츠 예약 발행. 사례·교재 장면 점검. 개인 계정에서 의견을 더해 자율 공유.</x:v>
      </x:c>
      <x:c r="G94" s="18" t="str">
        <x:v>겨울 계획을 부모와 아이가 함께 정하는 질문</x:v>
      </x:c>
      <x:c r="H94" s="18" t="str">
        <x:v>예약 발행 확인·기존 문의만 20~30분. 새 제안·맞팔 수량을 채우기 위한 활동 없음.</x:v>
      </x:c>
      <x:c r="I94" s="18" t="str">
        <x:v>새 타깃 수량보다 답글·실제 상담 우선</x:v>
      </x:c>
      <x:c r="J94" s="18" t="str">
        <x:v>예산 한도·오류만 확인, 불필요한 잦은 변경 금지</x:v>
      </x:c>
      <x:c r="K94" s="18" t="str">
        <x:v>기말 수·요청·채팅·체험·첫학습·지출·좋은 질문을 가능한 범위 기록</x:v>
      </x:c>
      <x:c r="L94" s="22" t="str">
        <x:v>미착수</x:v>
      </x:c>
      <x:c r="M94" s="18" t="n">
        <x:v>100</x:v>
      </x:c>
      <x:c r="N94" s="24"/>
      <x:c r="O94" s="24"/>
    </x:row>
    <x:row r="95" ht="115" customHeight="1">
      <x:c r="A95" s="18" t="n">
        <x:v>90</x:v>
      </x:c>
      <x:c r="B95" s="20" t="n">
        <x:v>46362</x:v>
      </x:c>
      <x:c r="C95" s="18" t="n">
        <x:v>13</x:v>
      </x:c>
      <x:c r="D95" s="18" t="str">
        <x:v>일</x:v>
      </x:c>
      <x:c r="E95" s="18" t="str">
        <x:v>휴식·가벼운 점검</x:v>
      </x:c>
      <x:c r="F95" s="18" t="str">
        <x:v>20~30분만 예약 발행·문의 확인. 콘텐츠 대량 제작·신규 영업 제안은 쉬기.</x:v>
      </x:c>
      <x:c r="G95" s="18" t="str">
        <x:v>스토리 질문/다음 주 예고</x:v>
      </x:c>
      <x:c r="H95" s="18" t="str">
        <x:v>예약 발행 확인·기존 문의만 20~30분. 새 제안·맞팔 수량을 채우기 위한 활동 없음.</x:v>
      </x:c>
      <x:c r="I95" s="18" t="str">
        <x:v>자율 공유 확인; 참여하지 않은 사람 추궁 금지</x:v>
      </x:c>
      <x:c r="J95" s="18" t="str">
        <x:v>이상 지출 때만 정지</x:v>
      </x:c>
      <x:c r="K95" s="18" t="str">
        <x:v>기말 수·요청·채팅·체험·첫학습·지출·좋은 질문을 가능한 범위 기록</x:v>
      </x:c>
      <x:c r="L95" s="22" t="str">
        <x:v>미착수</x:v>
      </x:c>
      <x:c r="M95" s="18" t="n">
        <x:v>30</x:v>
      </x:c>
      <x:c r="N95" s="24"/>
      <x:c r="O95" s="24"/>
    </x:row>
    <x:row r="96" ht="115" customHeight="1">
      <x:c r="A96" s="18" t="n">
        <x:v>91</x:v>
      </x:c>
      <x:c r="B96" s="20" t="n">
        <x:v>46363</x:v>
      </x:c>
      <x:c r="C96" s="18" t="n">
        <x:v>13</x:v>
      </x:c>
      <x:c r="D96" s="18" t="str">
        <x:v>월</x:v>
      </x:c>
      <x:c r="E96" s="18" t="str">
        <x:v>측정·다음 주 우선순위</x:v>
      </x:c>
      <x:c r="F96" s="18" t="str">
        <x:v>카드형 게시물 1개 발행. 순증·자료요청·채팅·체험·첫학습·지출 기록. 다음 주 원본 소재 선택.</x:v>
      </x:c>
      <x:c r="G96" s="18" t="str">
        <x:v>공개 수업 안내와 준비 사항</x:v>
      </x:c>
      <x:c r="H96" s="18" t="str">
        <x:v>관련 공개 블로그 5편·인스타 5개 읽기 → 실제 도움이 될 댓글 각 3개 이내. 새 관계·이웃 요청은 맞는 상대에게만 0~3건. 문의 2회 확인.</x:v>
      </x:c>
      <x:c r="I96" s="18" t="str">
        <x:v>신청 목표 40명. 참석·채널추가·첫학습으로 나눠 회고.</x:v>
      </x:c>
      <x:c r="J96" s="18" t="str">
        <x:v>5~7일 단위 비교. 불리한 실험 종료·예산 미집행 허용</x:v>
      </x:c>
      <x:c r="K96" s="18" t="str">
        <x:v>기말 수·요청·채팅·체험·첫학습·지출·좋은 질문을 가능한 범위 기록</x:v>
      </x:c>
      <x:c r="L96" s="22" t="str">
        <x:v>미착수</x:v>
      </x:c>
      <x:c r="M96" s="18" t="n">
        <x:v>205</x:v>
      </x:c>
      <x:c r="N96" s="24"/>
      <x:c r="O96" s="24"/>
    </x:row>
    <x:row r="97" ht="115" customHeight="1">
      <x:c r="A97" s="18" t="n">
        <x:v>92</x:v>
      </x:c>
      <x:c r="B97" s="20" t="n">
        <x:v>46364</x:v>
      </x:c>
      <x:c r="C97" s="18" t="n">
        <x:v>14</x:v>
      </x:c>
      <x:c r="D97" s="18" t="str">
        <x:v>화</x:v>
      </x:c>
      <x:c r="E97" s="18" t="str">
        <x:v>핵심 글·이번 주 유입 입구</x:v>
      </x:c>
      <x:c r="F97" s="18" t="str">
        <x:v>블로그 A 발행. 키워드 의도와 실제 수업 예시 점검. 이번 주 자료·CTA 하나 선택.</x:v>
      </x:c>
      <x:c r="G97" s="18" t="str">
        <x:v>학부모가 가장 많이 물은 질문 10개</x:v>
      </x:c>
      <x:c r="H97" s="18" t="str">
        <x:v>관련 공개 블로그 5편·인스타 5개 읽기 → 실제 도움이 될 댓글 각 3개 이내. 새 관계·이웃 요청은 맞는 상대에게만 0~3건. 문의 2회 확인.</x:v>
      </x:c>
      <x:c r="I97" s="18" t="str">
        <x:v>채널이 성장한 이유를 상위 게시물·제휴별로 정리. 팔로우 후 얻을 다음 달 콘텐츠 약속.</x:v>
      </x:c>
      <x:c r="J97" s="18" t="str">
        <x:v>전주 결과로 이번 주 광고 1~2매체 선택</x:v>
      </x:c>
      <x:c r="K97" s="18" t="str">
        <x:v>기말 수·요청·채팅·체험·첫학습·지출·좋은 질문을 가능한 범위 기록</x:v>
      </x:c>
      <x:c r="L97" s="22" t="str">
        <x:v>미착수</x:v>
      </x:c>
      <x:c r="M97" s="18" t="n">
        <x:v>205</x:v>
      </x:c>
      <x:c r="N97" s="24"/>
      <x:c r="O97" s="24"/>
    </x:row>
    <x:row r="98" ht="115" customHeight="1">
      <x:c r="A98" s="18" t="n">
        <x:v>93</x:v>
      </x:c>
      <x:c r="B98" s="20" t="n">
        <x:v>46365</x:v>
      </x:c>
      <x:c r="C98" s="18" t="n">
        <x:v>14</x:v>
      </x:c>
      <x:c r="D98" s="18" t="str">
        <x:v>수</x:v>
      </x:c>
      <x:c r="E98" s="18" t="str">
        <x:v>촬영·첫 영상 공개</x:v>
      </x:c>
      <x:c r="F98" s="18" t="str">
        <x:v>릴스 1 발행 → 클립에 내 블로그 링크 연결 → 쇼츠 원본 재배포. 3편 묶음 촬영.</x:v>
      </x:c>
      <x:c r="G98" s="18" t="str">
        <x:v>가장 많이 저장된 주제의 새 예시</x:v>
      </x:c>
      <x:c r="H98" s="18" t="str">
        <x:v>관련 공개 블로그 5편·인스타 5개 읽기 → 실제 도움이 될 댓글 각 3개 이내. 새 관계·이웃 요청은 맞는 상대에게만 0~3건. 문의 2회 확인.</x:v>
      </x:c>
      <x:c r="I98" s="18" t="str">
        <x:v>성과 좋았던 3곳과 다음 30일 협의. 무응답 상대 반복 접촉 중단.</x:v>
      </x:c>
      <x:c r="J98" s="18" t="str">
        <x:v>선택 소재·연결·소진·신고 여부 확인</x:v>
      </x:c>
      <x:c r="K98" s="18" t="str">
        <x:v>기말 수·요청·채팅·체험·첫학습·지출·좋은 질문을 가능한 범위 기록</x:v>
      </x:c>
      <x:c r="L98" s="22" t="str">
        <x:v>미착수</x:v>
      </x:c>
      <x:c r="M98" s="18" t="n">
        <x:v>205</x:v>
      </x:c>
      <x:c r="N98" s="24"/>
      <x:c r="O98" s="24"/>
    </x:row>
    <x:row r="99" ht="115" customHeight="1">
      <x:c r="A99" s="18" t="n">
        <x:v>94</x:v>
      </x:c>
      <x:c r="B99" s="20" t="n">
        <x:v>46366</x:v>
      </x:c>
      <x:c r="C99" s="18" t="n">
        <x:v>14</x:v>
      </x:c>
      <x:c r="D99" s="18" t="str">
        <x:v>목</x:v>
      </x:c>
      <x:c r="E99" s="18" t="str">
        <x:v>두 번째 글·협업 안내</x:v>
      </x:c>
      <x:c r="F99" s="18" t="str">
        <x:v>블로그 B·카카오 소식 발행. 협업 자료 전달. 이번 주 자료 응답 템플릿 준비.</x:v>
      </x:c>
      <x:c r="G99" s="18" t="str">
        <x:v>메타센스 체험 가이드: 시작부터 종료까지</x:v>
      </x:c>
      <x:c r="H99" s="18" t="str">
        <x:v>관련 공개 블로그 5편·인스타 5개 읽기 → 실제 도움이 될 댓글 각 3개 이내. 새 관계·이웃 요청은 맞는 상대에게만 0~3건. 문의 2회 확인.</x:v>
      </x:c>
      <x:c r="I99" s="18" t="str">
        <x:v>성과 좋았던 3곳과 다음 30일 협의. 무응답 상대 반복 접촉 중단.</x:v>
      </x:c>
      <x:c r="J99" s="18" t="str">
        <x:v>모바일 광고 연결과 실제 폼 완료 시험</x:v>
      </x:c>
      <x:c r="K99" s="18" t="str">
        <x:v>기말 수·요청·채팅·체험·첫학습·지출·좋은 질문을 가능한 범위 기록</x:v>
      </x:c>
      <x:c r="L99" s="22" t="str">
        <x:v>미착수</x:v>
      </x:c>
      <x:c r="M99" s="18" t="n">
        <x:v>205</x:v>
      </x:c>
      <x:c r="N99" s="24"/>
      <x:c r="O99" s="24"/>
    </x:row>
    <x:row r="100" ht="115" customHeight="1">
      <x:c r="A100" s="18" t="n">
        <x:v>95</x:v>
      </x:c>
      <x:c r="B100" s="20" t="n">
        <x:v>46367</x:v>
      </x:c>
      <x:c r="C100" s="18" t="n">
        <x:v>14</x:v>
      </x:c>
      <x:c r="D100" s="18" t="str">
        <x:v>금</x:v>
      </x:c>
      <x:c r="E100" s="18" t="str">
        <x:v>두 번째 영상·질문 수집</x:v>
      </x:c>
      <x:c r="F100" s="18" t="str">
        <x:v>릴스 2·클립·쇼츠 발행. 스토리에 부모 질문 1개 수집. 요청자에게만 자료 회신. 카카오 홍보메시지 최대 1회: 적법한 대상·광고표시·수신거부·시간 확인.</x:v>
      </x:c>
      <x:c r="G100" s="18" t="str">
        <x:v>이런 아이에게는 다른 선택도 권합니다</x:v>
      </x:c>
      <x:c r="H100" s="18" t="str">
        <x:v>관련 공개 블로그 5편·인스타 5개 읽기 → 실제 도움이 될 댓글 각 3개 이내. 새 관계·이웃 요청은 맞는 상대에게만 0~3건. 문의 2회 확인.</x:v>
      </x:c>
      <x:c r="I100" s="18" t="str">
        <x:v>채널이 성장한 이유를 상위 게시물·제휴별로 정리. 팔로우 후 얻을 다음 달 콘텐츠 약속.</x:v>
      </x:c>
      <x:c r="J100" s="18" t="str">
        <x:v>검색어·낭비 클릭·광고 문의 품질 확인</x:v>
      </x:c>
      <x:c r="K100" s="18" t="str">
        <x:v>기말 수·요청·채팅·체험·첫학습·지출·좋은 질문을 가능한 범위 기록</x:v>
      </x:c>
      <x:c r="L100" s="22" t="str">
        <x:v>미착수</x:v>
      </x:c>
      <x:c r="M100" s="18" t="n">
        <x:v>205</x:v>
      </x:c>
      <x:c r="N100" s="24"/>
      <x:c r="O100" s="24"/>
    </x:row>
    <x:row r="101" ht="115" customHeight="1">
      <x:c r="A101" s="18" t="n">
        <x:v>96</x:v>
      </x:c>
      <x:c r="B101" s="20" t="n">
        <x:v>46368</x:v>
      </x:c>
      <x:c r="C101" s="18" t="n">
        <x:v>14</x:v>
      </x:c>
      <x:c r="D101" s="18" t="str">
        <x:v>토</x:v>
      </x:c>
      <x:c r="E101" s="18" t="str">
        <x:v>세 번째 영상·자율 공유</x:v>
      </x:c>
      <x:c r="F101" s="18" t="str">
        <x:v>릴스 3·클립·쇼츠 예약 발행. 사례·교재 장면 점검. 개인 계정에서 의견을 더해 자율 공유.</x:v>
      </x:c>
      <x:c r="G101" s="18" t="str">
        <x:v>부모가 편하게 문의하는 방법</x:v>
      </x:c>
      <x:c r="H101" s="18" t="str">
        <x:v>예약 발행 확인·기존 문의만 20~30분. 새 제안·맞팔 수량을 채우기 위한 활동 없음.</x:v>
      </x:c>
      <x:c r="I101" s="18" t="str">
        <x:v>새 타깃 수량보다 답글·실제 상담 우선</x:v>
      </x:c>
      <x:c r="J101" s="18" t="str">
        <x:v>예산 한도·오류만 확인, 불필요한 잦은 변경 금지</x:v>
      </x:c>
      <x:c r="K101" s="18" t="str">
        <x:v>기말 수·요청·채팅·체험·첫학습·지출·좋은 질문을 가능한 범위 기록</x:v>
      </x:c>
      <x:c r="L101" s="22" t="str">
        <x:v>미착수</x:v>
      </x:c>
      <x:c r="M101" s="18" t="n">
        <x:v>100</x:v>
      </x:c>
      <x:c r="N101" s="24"/>
      <x:c r="O101" s="24"/>
    </x:row>
    <x:row r="102" ht="115" customHeight="1">
      <x:c r="A102" s="18" t="n">
        <x:v>97</x:v>
      </x:c>
      <x:c r="B102" s="20" t="n">
        <x:v>46369</x:v>
      </x:c>
      <x:c r="C102" s="18" t="n">
        <x:v>14</x:v>
      </x:c>
      <x:c r="D102" s="18" t="str">
        <x:v>일</x:v>
      </x:c>
      <x:c r="E102" s="18" t="str">
        <x:v>휴식·가벼운 점검</x:v>
      </x:c>
      <x:c r="F102" s="18" t="str">
        <x:v>20~30분만 예약 발행·문의 확인. 콘텐츠 대량 제작·신규 영업 제안은 쉬기.</x:v>
      </x:c>
      <x:c r="G102" s="18" t="str">
        <x:v>스토리 질문/다음 주 예고</x:v>
      </x:c>
      <x:c r="H102" s="18" t="str">
        <x:v>예약 발행 확인·기존 문의만 20~30분. 새 제안·맞팔 수량을 채우기 위한 활동 없음.</x:v>
      </x:c>
      <x:c r="I102" s="18" t="str">
        <x:v>자율 공유 확인; 참여하지 않은 사람 추궁 금지</x:v>
      </x:c>
      <x:c r="J102" s="18" t="str">
        <x:v>이상 지출 때만 정지</x:v>
      </x:c>
      <x:c r="K102" s="18" t="str">
        <x:v>기말 수·요청·채팅·체험·첫학습·지출·좋은 질문을 가능한 범위 기록</x:v>
      </x:c>
      <x:c r="L102" s="22" t="str">
        <x:v>미착수</x:v>
      </x:c>
      <x:c r="M102" s="18" t="n">
        <x:v>30</x:v>
      </x:c>
      <x:c r="N102" s="24"/>
      <x:c r="O102" s="24"/>
    </x:row>
    <x:row r="103" ht="115" customHeight="1">
      <x:c r="A103" s="18" t="n">
        <x:v>98</x:v>
      </x:c>
      <x:c r="B103" s="20" t="n">
        <x:v>46370</x:v>
      </x:c>
      <x:c r="C103" s="18" t="n">
        <x:v>14</x:v>
      </x:c>
      <x:c r="D103" s="18" t="str">
        <x:v>월</x:v>
      </x:c>
      <x:c r="E103" s="18" t="str">
        <x:v>측정·다음 주 우선순위</x:v>
      </x:c>
      <x:c r="F103" s="18" t="str">
        <x:v>카드형 게시물 1개 발행. 순증·자료요청·채팅·체험·첫학습·지출 기록. 다음 주 원본 소재 선택.</x:v>
      </x:c>
      <x:c r="G103" s="18" t="str">
        <x:v>100일 동안의 인기 자료 모음</x:v>
      </x:c>
      <x:c r="H103" s="18" t="str">
        <x:v>관련 공개 블로그 5편·인스타 5개 읽기 → 실제 도움이 될 댓글 각 3개 이내. 새 관계·이웃 요청은 맞는 상대에게만 0~3건. 문의 2회 확인.</x:v>
      </x:c>
      <x:c r="I103" s="18" t="str">
        <x:v>유입 출처·순증·14일 내 첫학습·체험 종료한 가정의 등록을 비교.</x:v>
      </x:c>
      <x:c r="J103" s="18" t="str">
        <x:v>5~7일 단위 비교. 불리한 실험 종료·예산 미집행 허용</x:v>
      </x:c>
      <x:c r="K103" s="18" t="str">
        <x:v>기말 수·요청·채팅·체험·첫학습·지출·좋은 질문을 가능한 범위 기록</x:v>
      </x:c>
      <x:c r="L103" s="22" t="str">
        <x:v>미착수</x:v>
      </x:c>
      <x:c r="M103" s="18" t="n">
        <x:v>205</x:v>
      </x:c>
      <x:c r="N103" s="24"/>
      <x:c r="O103" s="24"/>
    </x:row>
    <x:row r="104" ht="115" customHeight="1">
      <x:c r="A104" s="18" t="n">
        <x:v>99</x:v>
      </x:c>
      <x:c r="B104" s="20" t="n">
        <x:v>46371</x:v>
      </x:c>
      <x:c r="C104" s="18" t="n">
        <x:v>15</x:v>
      </x:c>
      <x:c r="D104" s="18" t="str">
        <x:v>화</x:v>
      </x:c>
      <x:c r="E104" s="18" t="str">
        <x:v>최종 데이터 집계</x:v>
      </x:c>
      <x:c r="F104" s="18" t="str">
        <x:v>모든 채널의 기말 수치·실제 지출 입력. 첫학습·등록은 체험 성숙기간을 구분. 미집행 광고 종료.</x:v>
      </x:c>
      <x:c r="G104" s="18" t="str">
        <x:v>메타센스 100일 운영 기록: 무엇을 계속하고 무엇을 바꿀까요?</x:v>
      </x:c>
      <x:c r="H104" s="18" t="str">
        <x:v>관련 공개 블로그 5편·인스타 5개 읽기 → 실제 도움이 될 댓글 각 3개 이내. 새 관계·이웃 요청은 맞는 상대에게만 0~3건. 문의 2회 확인.</x:v>
      </x:c>
      <x:c r="I104" s="18" t="str">
        <x:v>12/15 마지막 집계, 12/16 결산 공개. 허수·중복 합계·미완료 체험을 성공 수치로 발표하지 않음.</x:v>
      </x:c>
      <x:c r="J104" s="18" t="str">
        <x:v>미집행 예산 환류·종료. 새 광고는 다음 계획에서 판단.</x:v>
      </x:c>
      <x:c r="K104" s="18" t="str">
        <x:v>기말 수·요청·채팅·체험·첫학습·지출·좋은 질문을 가능한 범위 기록</x:v>
      </x:c>
      <x:c r="L104" s="22" t="str">
        <x:v>미착수</x:v>
      </x:c>
      <x:c r="M104" s="18" t="n">
        <x:v>205</x:v>
      </x:c>
      <x:c r="N104" s="24"/>
      <x:c r="O104" s="24"/>
    </x:row>
    <x:row r="105" ht="115" customHeight="1">
      <x:c r="A105" s="18" t="n">
        <x:v>100</x:v>
      </x:c>
      <x:c r="B105" s="20" t="n">
        <x:v>46372</x:v>
      </x:c>
      <x:c r="C105" s="18" t="n">
        <x:v>15</x:v>
      </x:c>
      <x:c r="D105" s="18" t="str">
        <x:v>수</x:v>
      </x:c>
      <x:c r="E105" s="18" t="str">
        <x:v>100일 결과와 다음 30일 결정</x:v>
      </x:c>
      <x:c r="F105" s="18" t="str">
        <x:v>100일 결산 글·짧은 영상 발행. 성과 좋은 채널 2개와 주제 3개 결정. 실제 운영 시간·다음 실험 1개 확정.</x:v>
      </x:c>
      <x:c r="G105" s="18" t="str">
        <x:v>100일 동안 가장 많이 받은 질문과 다음 이야기</x:v>
      </x:c>
      <x:c r="H105" s="18" t="str">
        <x:v>관련 공개 블로그 5편·인스타 5개 읽기 → 실제 도움이 될 댓글 각 3개 이내. 새 관계·이웃 요청은 맞는 상대에게만 0~3건. 문의 2회 확인.</x:v>
      </x:c>
      <x:c r="I105" s="18" t="str">
        <x:v>12/15 마지막 집계, 12/16 결산 공개. 허수·중복 합계·미완료 체험을 성공 수치로 발표하지 않음.</x:v>
      </x:c>
      <x:c r="J105" s="18" t="str">
        <x:v>미집행 예산 환류·종료. 새 광고는 다음 계획에서 판단.</x:v>
      </x:c>
      <x:c r="K105" s="18" t="str">
        <x:v>기말 수·요청·채팅·체험·첫학습·지출·좋은 질문을 가능한 범위 기록</x:v>
      </x:c>
      <x:c r="L105" s="22" t="str">
        <x:v>미착수</x:v>
      </x:c>
      <x:c r="M105" s="18" t="n">
        <x:v>205</x:v>
      </x:c>
      <x:c r="N105" s="24"/>
      <x:c r="O105" s="24"/>
    </x:row>
  </x:sheetData>
  <x:mergeCells>
    <x:mergeCell ref="A1:O1"/>
    <x:mergeCell ref="A2:O3"/>
  </x:mergeCells>
  <x:conditionalFormatting sqref="L6:L105">
    <x:cfRule type="expression" dxfId="1" priority="1">
      <x:formula>L6="완료"</x:formula>
    </x:cfRule>
  </x:conditionalFormatting>
  <x:dataValidations count="1">
    <x:dataValidation type="list" sqref="L6:L105">
      <x:formula1>"미착수,진행중,완료,보류,초안 전,발행"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8d1c4e327743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19" hidden="0" customWidth="1"/>
    <x:col min="11" max="11" width="38" hidden="0" customWidth="1"/>
  </x:cols>
  <x:sheetData>
    <x:row r="1" ht="30" customHeight="1">
      <x:c r="A1" s="7" t="str">
        <x:v>콘텐츠 | 제목·형식·재배포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6" customHeight="1">
      <x:c r="A2" s="11" t="str">
        <x:v>실제 발행본이 아니라 제작 계획이다. 고전읽기의 실제 개설 대상·시기를 확인하고 학생 과정과 성인 세미나를 분리한다. 영상 원본 1개를 3플랫폼에 재배포.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8" customHeight="1">
      <x:c r="A5" s="15" t="str">
        <x:v>ID</x:v>
      </x:c>
      <x:c r="B5" s="15" t="str">
        <x:v>주차</x:v>
      </x:c>
      <x:c r="C5" s="15" t="str">
        <x:v>예정일</x:v>
      </x:c>
      <x:c r="D5" s="15" t="str">
        <x:v>채널·형식</x:v>
      </x:c>
      <x:c r="E5" s="15" t="str">
        <x:v>제목·첫 문장</x:v>
      </x:c>
      <x:c r="F5" s="15" t="str">
        <x:v>구성</x:v>
      </x:c>
      <x:c r="G5" s="15" t="str">
        <x:v>다음 행동(CTA)</x:v>
      </x:c>
      <x:c r="H5" s="15" t="str">
        <x:v>자료</x:v>
      </x:c>
      <x:c r="I5" s="15" t="str">
        <x:v>검수</x:v>
      </x:c>
      <x:c r="J5" s="15" t="str">
        <x:v>상태</x:v>
      </x:c>
      <x:c r="K5" s="15" t="str">
        <x:v>발행 URL</x:v>
      </x:c>
    </x:row>
    <x:row r="6" ht="84" customHeight="1">
      <x:c r="A6" s="18" t="str">
        <x:v>W01-B1</x:v>
      </x:c>
      <x:c r="B6" s="18" t="n">
        <x:v>1</x:v>
      </x:c>
      <x:c r="C6" s="20" t="n">
        <x:v>46273</x:v>
      </x:c>
      <x:c r="D6" s="18" t="str">
        <x:v>네이버 블로그</x:v>
      </x:c>
      <x:c r="E6" s="18" t="str">
        <x:v>스스로 공부한다는 것은 혼자 내버려둔다는 뜻이 아닙니다</x:v>
      </x:c>
      <x:c r="F6" s="18" t="str">
        <x:v>실제 학습 예시 1개 + 부모가 할 질문 + 메타센스 방식 + CTA 1개</x:v>
      </x:c>
      <x:c r="G6" s="18" t="str">
        <x:v>관련 자료 확인 또는 다음 편 이웃추가</x:v>
      </x:c>
      <x:c r="H6" s="18" t="str">
        <x:v>기존 대표글 점검·3채널 연결·과정별 첫 행동</x:v>
      </x:c>
      <x:c r="I6" s="18" t="str">
        <x:v>교재·직접 시연·공개 동의된 기록</x:v>
      </x:c>
      <x:c r="J6" s="22" t="str">
        <x:v>초안 전</x:v>
      </x:c>
      <x:c r="K6" s="18"/>
    </x:row>
    <x:row r="7" ht="84" customHeight="1">
      <x:c r="A7" s="18" t="str">
        <x:v>W01-B2</x:v>
      </x:c>
      <x:c r="B7" s="18" t="n">
        <x:v>1</x:v>
      </x:c>
      <x:c r="C7" s="20" t="n">
        <x:v>46275</x:v>
      </x:c>
      <x:c r="D7" s="18" t="str">
        <x:v>네이버 블로그</x:v>
      </x:c>
      <x:c r="E7" s="18" t="str">
        <x:v>메타센스 첫날: 접속부터 질문·피드백까지</x:v>
      </x:c>
      <x:c r="F7" s="18" t="str">
        <x:v>실제 학습 예시 1개 + 부모가 할 질문 + 메타센스 방식 + CTA 1개</x:v>
      </x:c>
      <x:c r="G7" s="18" t="str">
        <x:v>관련 자료 확인 또는 다음 편 이웃추가</x:v>
      </x:c>
      <x:c r="H7" s="18" t="str">
        <x:v>기존 대표글 점검·3채널 연결·과정별 첫 행동</x:v>
      </x:c>
      <x:c r="I7" s="18" t="str">
        <x:v>교재·직접 시연·공개 동의된 기록</x:v>
      </x:c>
      <x:c r="J7" s="22" t="str">
        <x:v>초안 전</x:v>
      </x:c>
      <x:c r="K7" s="18"/>
    </x:row>
    <x:row r="8" ht="84" customHeight="1">
      <x:c r="A8" s="18" t="str">
        <x:v>W01-R1</x:v>
      </x:c>
      <x:c r="B8" s="18" t="n">
        <x:v>1</x:v>
      </x:c>
      <x:c r="C8" s="20" t="n">
        <x:v>46274</x:v>
      </x:c>
      <x:c r="D8" s="18" t="str">
        <x:v>인스타 릴스 → 클립·쇼츠 재배포</x:v>
      </x:c>
      <x:c r="E8" s="18" t="str">
        <x:v>시키지 않으면 안 하는 공부, 무엇부터 바꿀까요?</x:v>
      </x:c>
      <x:c r="F8" s="18" t="str">
        <x:v>첫 질문 3초 → 실제 시연 → 관찰 포인트 → 다음 편 안내. 25~50초는 시험 형식.</x:v>
      </x:c>
      <x:c r="G8" s="18" t="str">
        <x:v>시리즈 팔로우 / 관련 글 / 요청 자료 중 하나</x:v>
      </x:c>
      <x:c r="H8" s="18" t="str">
        <x:v>기존 대표글 점검·3채널 연결·과정별 첫 행동</x:v>
      </x:c>
      <x:c r="I8" s="18" t="str">
        <x:v>직접 촬영. 개인정보 제거. 타 플랫폼 재사용 가능한 음원만</x:v>
      </x:c>
      <x:c r="J8" s="22" t="str">
        <x:v>초안 전</x:v>
      </x:c>
      <x:c r="K8" s="18"/>
    </x:row>
    <x:row r="9" ht="84" customHeight="1">
      <x:c r="A9" s="18" t="str">
        <x:v>W01-R2</x:v>
      </x:c>
      <x:c r="B9" s="18" t="n">
        <x:v>1</x:v>
      </x:c>
      <x:c r="C9" s="20" t="n">
        <x:v>46276</x:v>
      </x:c>
      <x:c r="D9" s="18" t="str">
        <x:v>인스타 릴스 → 클립·쇼츠 재배포</x:v>
      </x:c>
      <x:c r="E9" s="18" t="str">
        <x:v>학습 화면 30초 투어</x:v>
      </x:c>
      <x:c r="F9" s="18" t="str">
        <x:v>첫 질문 3초 → 실제 시연 → 관찰 포인트 → 다음 편 안내. 25~50초는 시험 형식.</x:v>
      </x:c>
      <x:c r="G9" s="18" t="str">
        <x:v>시리즈 팔로우 / 관련 글 / 요청 자료 중 하나</x:v>
      </x:c>
      <x:c r="H9" s="18" t="str">
        <x:v>기존 대표글 점검·3채널 연결·과정별 첫 행동</x:v>
      </x:c>
      <x:c r="I9" s="18" t="str">
        <x:v>직접 촬영. 개인정보 제거. 타 플랫폼 재사용 가능한 음원만</x:v>
      </x:c>
      <x:c r="J9" s="22" t="str">
        <x:v>초안 전</x:v>
      </x:c>
      <x:c r="K9" s="18"/>
    </x:row>
    <x:row r="10" ht="84" customHeight="1">
      <x:c r="A10" s="18" t="str">
        <x:v>W01-R3</x:v>
      </x:c>
      <x:c r="B10" s="18" t="n">
        <x:v>1</x:v>
      </x:c>
      <x:c r="C10" s="20" t="n">
        <x:v>46277</x:v>
      </x:c>
      <x:c r="D10" s="18" t="str">
        <x:v>인스타 릴스 → 클립·쇼츠 재배포</x:v>
      </x:c>
      <x:c r="E10" s="18" t="str">
        <x:v>수학감각을 직접 만들게 된 이유</x:v>
      </x:c>
      <x:c r="F10" s="18" t="str">
        <x:v>첫 질문 3초 → 실제 시연 → 관찰 포인트 → 다음 편 안내. 25~50초는 시험 형식.</x:v>
      </x:c>
      <x:c r="G10" s="18" t="str">
        <x:v>시리즈 팔로우 / 관련 글 / 요청 자료 중 하나</x:v>
      </x:c>
      <x:c r="H10" s="18" t="str">
        <x:v>기존 대표글 점검·3채널 연결·과정별 첫 행동</x:v>
      </x:c>
      <x:c r="I10" s="18" t="str">
        <x:v>직접 촬영. 개인정보 제거. 타 플랫폼 재사용 가능한 음원만</x:v>
      </x:c>
      <x:c r="J10" s="22" t="str">
        <x:v>초안 전</x:v>
      </x:c>
      <x:c r="K10" s="18"/>
    </x:row>
    <x:row r="11" ht="84" customHeight="1">
      <x:c r="A11" s="18" t="str">
        <x:v>W01-C1</x:v>
      </x:c>
      <x:c r="B11" s="18" t="n">
        <x:v>1</x:v>
      </x:c>
      <x:c r="C11" s="20" t="n">
        <x:v>46279</x:v>
      </x:c>
      <x:c r="D11" s="18" t="str">
        <x:v>인스타 카드형 게시물</x:v>
      </x:c>
      <x:c r="E11" s="18" t="str">
        <x:v>메타센스가 맞는 아이·맞지 않을 수 있는 아이</x:v>
      </x:c>
      <x:c r="F11" s="18" t="str">
        <x:v>5~7장: 질문 → 예시 → 정리 → 다음편</x:v>
      </x:c>
      <x:c r="G11" s="18" t="str">
        <x:v>저장·다음편 안내 중 하나</x:v>
      </x:c>
      <x:c r="H11" s="18" t="str">
        <x:v>기존 대표글 점검·3채널 연결·과정별 첫 행동</x:v>
      </x:c>
      <x:c r="I11" s="18" t="str">
        <x:v>자체 제작 자료</x:v>
      </x:c>
      <x:c r="J11" s="22" t="str">
        <x:v>초안 전</x:v>
      </x:c>
      <x:c r="K11" s="18"/>
    </x:row>
    <x:row r="12" ht="84" customHeight="1">
      <x:c r="A12" s="18" t="str">
        <x:v>W01-K1</x:v>
      </x:c>
      <x:c r="B12" s="18" t="n">
        <x:v>1</x:v>
      </x:c>
      <x:c r="C12" s="20" t="n">
        <x:v>46275</x:v>
      </x:c>
      <x:c r="D12" s="18" t="str">
        <x:v>카카오 채널 소식</x:v>
      </x:c>
      <x:c r="E12" s="18" t="str">
        <x:v>첫 방문자가 팔로우할 이유</x:v>
      </x:c>
      <x:c r="F12" s="18" t="str">
        <x:v>좋은 콘텐츠 1개를 3~5문장으로 요약</x:v>
      </x:c>
      <x:c r="G12" s="18" t="str">
        <x:v>관련 글 또는 자료 메뉴 1개</x:v>
      </x:c>
      <x:c r="H12" s="18" t="str">
        <x:v>기존 대표글 점검·3채널 연결·과정별 첫 행동</x:v>
      </x:c>
      <x:c r="I12" s="18" t="str">
        <x:v>채널 소식 게시 ≠ 전체 메시지 발송</x:v>
      </x:c>
      <x:c r="J12" s="22" t="str">
        <x:v>초안 전</x:v>
      </x:c>
      <x:c r="K12" s="18"/>
    </x:row>
    <x:row r="13" ht="84" customHeight="1">
      <x:c r="A13" s="18" t="str">
        <x:v>W02-B1</x:v>
      </x:c>
      <x:c r="B13" s="18" t="n">
        <x:v>2</x:v>
      </x:c>
      <x:c r="C13" s="20" t="n">
        <x:v>46280</x:v>
      </x:c>
      <x:c r="D13" s="18" t="str">
        <x:v>네이버 블로그</x:v>
      </x:c>
      <x:c r="E13" s="18" t="str">
        <x:v>초등 나눗셈, 답은 맞는데 원리를 모를 때 확인할 질문</x:v>
      </x:c>
      <x:c r="F13" s="18" t="str">
        <x:v>실제 학습 예시 1개 + 부모가 할 질문 + 메타센스 방식 + CTA 1개</x:v>
      </x:c>
      <x:c r="G13" s="18" t="str">
        <x:v>관련 자료 확인 또는 다음 편 이웃추가</x:v>
      </x:c>
      <x:c r="H13" s="18" t="str">
        <x:v>수학 개념 확인 질문 5개와 기록지: 샘플 공개·전체 자료 요청</x:v>
      </x:c>
      <x:c r="I13" s="18" t="str">
        <x:v>교재·직접 시연·공개 동의된 기록</x:v>
      </x:c>
      <x:c r="J13" s="22" t="str">
        <x:v>초안 전</x:v>
      </x:c>
      <x:c r="K13" s="18"/>
    </x:row>
    <x:row r="14" ht="84" customHeight="1">
      <x:c r="A14" s="18" t="str">
        <x:v>W02-B2</x:v>
      </x:c>
      <x:c r="B14" s="18" t="n">
        <x:v>2</x:v>
      </x:c>
      <x:c r="C14" s="20" t="n">
        <x:v>46282</x:v>
      </x:c>
      <x:c r="D14" s="18" t="str">
        <x:v>네이버 블로그</x:v>
      </x:c>
      <x:c r="E14" s="18" t="str">
        <x:v>초등 문장제에서 막히는 이유를 살펴보는 3가지 질문</x:v>
      </x:c>
      <x:c r="F14" s="18" t="str">
        <x:v>실제 학습 예시 1개 + 부모가 할 질문 + 메타센스 방식 + CTA 1개</x:v>
      </x:c>
      <x:c r="G14" s="18" t="str">
        <x:v>관련 자료 확인 또는 다음 편 이웃추가</x:v>
      </x:c>
      <x:c r="H14" s="18" t="str">
        <x:v>수학 개념 확인 질문 5개와 기록지: 샘플 공개·전체 자료 요청</x:v>
      </x:c>
      <x:c r="I14" s="18" t="str">
        <x:v>교재·직접 시연·공개 동의된 기록</x:v>
      </x:c>
      <x:c r="J14" s="22" t="str">
        <x:v>초안 전</x:v>
      </x:c>
      <x:c r="K14" s="18"/>
    </x:row>
    <x:row r="15" ht="84" customHeight="1">
      <x:c r="A15" s="18" t="str">
        <x:v>W02-R1</x:v>
      </x:c>
      <x:c r="B15" s="18" t="n">
        <x:v>2</x:v>
      </x:c>
      <x:c r="C15" s="20" t="n">
        <x:v>46281</x:v>
      </x:c>
      <x:c r="D15" s="18" t="str">
        <x:v>인스타 릴스 → 클립·쇼츠 재배포</x:v>
      </x:c>
      <x:c r="E15" s="18" t="str">
        <x:v>24÷6, 답 말고 그림을 부탁해 보세요</x:v>
      </x:c>
      <x:c r="F15" s="18" t="str">
        <x:v>첫 질문 3초 → 실제 시연 → 관찰 포인트 → 다음 편 안내. 25~50초는 시험 형식.</x:v>
      </x:c>
      <x:c r="G15" s="18" t="str">
        <x:v>시리즈 팔로우 / 관련 글 / 요청 자료 중 하나</x:v>
      </x:c>
      <x:c r="H15" s="18" t="str">
        <x:v>수학 개념 확인 질문 5개와 기록지: 샘플 공개·전체 자료 요청</x:v>
      </x:c>
      <x:c r="I15" s="18" t="str">
        <x:v>직접 촬영. 개인정보 제거. 타 플랫폼 재사용 가능한 음원만</x:v>
      </x:c>
      <x:c r="J15" s="22" t="str">
        <x:v>초안 전</x:v>
      </x:c>
      <x:c r="K15" s="18"/>
    </x:row>
    <x:row r="16" ht="84" customHeight="1">
      <x:c r="A16" s="18" t="str">
        <x:v>W02-R2</x:v>
      </x:c>
      <x:c r="B16" s="18" t="n">
        <x:v>2</x:v>
      </x:c>
      <x:c r="C16" s="20" t="n">
        <x:v>46283</x:v>
      </x:c>
      <x:c r="D16" s="18" t="str">
        <x:v>인스타 릴스 → 클립·쇼츠 재배포</x:v>
      </x:c>
      <x:c r="E16" s="18" t="str">
        <x:v>문장제를 읽고 첫 번째로 할 일</x:v>
      </x:c>
      <x:c r="F16" s="18" t="str">
        <x:v>첫 질문 3초 → 실제 시연 → 관찰 포인트 → 다음 편 안내. 25~50초는 시험 형식.</x:v>
      </x:c>
      <x:c r="G16" s="18" t="str">
        <x:v>시리즈 팔로우 / 관련 글 / 요청 자료 중 하나</x:v>
      </x:c>
      <x:c r="H16" s="18" t="str">
        <x:v>수학 개념 확인 질문 5개와 기록지: 샘플 공개·전체 자료 요청</x:v>
      </x:c>
      <x:c r="I16" s="18" t="str">
        <x:v>직접 촬영. 개인정보 제거. 타 플랫폼 재사용 가능한 음원만</x:v>
      </x:c>
      <x:c r="J16" s="22" t="str">
        <x:v>초안 전</x:v>
      </x:c>
      <x:c r="K16" s="18"/>
    </x:row>
    <x:row r="17" ht="84" customHeight="1">
      <x:c r="A17" s="18" t="str">
        <x:v>W02-R3</x:v>
      </x:c>
      <x:c r="B17" s="18" t="n">
        <x:v>2</x:v>
      </x:c>
      <x:c r="C17" s="20" t="n">
        <x:v>46284</x:v>
      </x:c>
      <x:c r="D17" s="18" t="str">
        <x:v>인스타 릴스 → 클립·쇼츠 재배포</x:v>
      </x:c>
      <x:c r="E17" s="18" t="str">
        <x:v>틀린 답에서 확인할 수 있는 것</x:v>
      </x:c>
      <x:c r="F17" s="18" t="str">
        <x:v>첫 질문 3초 → 실제 시연 → 관찰 포인트 → 다음 편 안내. 25~50초는 시험 형식.</x:v>
      </x:c>
      <x:c r="G17" s="18" t="str">
        <x:v>시리즈 팔로우 / 관련 글 / 요청 자료 중 하나</x:v>
      </x:c>
      <x:c r="H17" s="18" t="str">
        <x:v>수학 개념 확인 질문 5개와 기록지: 샘플 공개·전체 자료 요청</x:v>
      </x:c>
      <x:c r="I17" s="18" t="str">
        <x:v>직접 촬영. 개인정보 제거. 타 플랫폼 재사용 가능한 음원만</x:v>
      </x:c>
      <x:c r="J17" s="22" t="str">
        <x:v>초안 전</x:v>
      </x:c>
      <x:c r="K17" s="18"/>
    </x:row>
    <x:row r="18" ht="84" customHeight="1">
      <x:c r="A18" s="18" t="str">
        <x:v>W02-C1</x:v>
      </x:c>
      <x:c r="B18" s="18" t="n">
        <x:v>2</x:v>
      </x:c>
      <x:c r="C18" s="20" t="n">
        <x:v>46286</x:v>
      </x:c>
      <x:c r="D18" s="18" t="str">
        <x:v>인스타 카드형 게시물</x:v>
      </x:c>
      <x:c r="E18" s="18" t="str">
        <x:v>집에서 쓰는 수학 질문 5개</x:v>
      </x:c>
      <x:c r="F18" s="18" t="str">
        <x:v>5~7장: 질문 → 예시 → 정리 → 다음편</x:v>
      </x:c>
      <x:c r="G18" s="18" t="str">
        <x:v>저장·다음편 안내 중 하나</x:v>
      </x:c>
      <x:c r="H18" s="18" t="str">
        <x:v>수학 개념 확인 질문 5개와 기록지: 샘플 공개·전체 자료 요청</x:v>
      </x:c>
      <x:c r="I18" s="18" t="str">
        <x:v>자체 제작 자료</x:v>
      </x:c>
      <x:c r="J18" s="22" t="str">
        <x:v>초안 전</x:v>
      </x:c>
      <x:c r="K18" s="18"/>
    </x:row>
    <x:row r="19" ht="84" customHeight="1">
      <x:c r="A19" s="18" t="str">
        <x:v>W02-K1</x:v>
      </x:c>
      <x:c r="B19" s="18" t="n">
        <x:v>2</x:v>
      </x:c>
      <x:c r="C19" s="20" t="n">
        <x:v>46282</x:v>
      </x:c>
      <x:c r="D19" s="18" t="str">
        <x:v>카카오 채널 소식</x:v>
      </x:c>
      <x:c r="E19" s="18" t="str">
        <x:v>초등수학 개념 확인 자료</x:v>
      </x:c>
      <x:c r="F19" s="18" t="str">
        <x:v>좋은 콘텐츠 1개를 3~5문장으로 요약</x:v>
      </x:c>
      <x:c r="G19" s="18" t="str">
        <x:v>관련 글 또는 자료 메뉴 1개</x:v>
      </x:c>
      <x:c r="H19" s="18" t="str">
        <x:v>수학 개념 확인 질문 5개와 기록지: 샘플 공개·전체 자료 요청</x:v>
      </x:c>
      <x:c r="I19" s="18" t="str">
        <x:v>채널 소식 게시 ≠ 전체 메시지 발송</x:v>
      </x:c>
      <x:c r="J19" s="22" t="str">
        <x:v>초안 전</x:v>
      </x:c>
      <x:c r="K19" s="18"/>
    </x:row>
    <x:row r="20" ht="84" customHeight="1">
      <x:c r="A20" s="18" t="str">
        <x:v>W03-B1</x:v>
      </x:c>
      <x:c r="B20" s="18" t="n">
        <x:v>3</x:v>
      </x:c>
      <x:c r="C20" s="20" t="n">
        <x:v>46287</x:v>
      </x:c>
      <x:c r="D20" s="18" t="str">
        <x:v>네이버 블로그</x:v>
      </x:c>
      <x:c r="E20" s="18" t="str">
        <x:v>연휴에 공부 잔소리 대신 건넬 수학 대화 질문</x:v>
      </x:c>
      <x:c r="F20" s="18" t="str">
        <x:v>실제 학습 예시 1개 + 부모가 할 질문 + 메타센스 방식 + CTA 1개</x:v>
      </x:c>
      <x:c r="G20" s="18" t="str">
        <x:v>관련 자료 확인 또는 다음 편 이웃추가</x:v>
      </x:c>
      <x:c r="H20" s="18" t="str">
        <x:v>부모용 소개 카드 1장·학생용 초대 카드 1장</x:v>
      </x:c>
      <x:c r="I20" s="18" t="str">
        <x:v>교재·직접 시연·공개 동의된 기록</x:v>
      </x:c>
      <x:c r="J20" s="22" t="str">
        <x:v>초안 전</x:v>
      </x:c>
      <x:c r="K20" s="18"/>
    </x:row>
    <x:row r="21" ht="84" customHeight="1">
      <x:c r="A21" s="18" t="str">
        <x:v>W03-B2</x:v>
      </x:c>
      <x:c r="B21" s="18" t="n">
        <x:v>3</x:v>
      </x:c>
      <x:c r="C21" s="20" t="n">
        <x:v>46289</x:v>
      </x:c>
      <x:c r="D21" s="18" t="str">
        <x:v>네이버 블로그</x:v>
      </x:c>
      <x:c r="E21" s="18" t="str">
        <x:v>친구에게 메타센스를 소개할 때 먼저 알려줄 체험 조건</x:v>
      </x:c>
      <x:c r="F21" s="18" t="str">
        <x:v>실제 학습 예시 1개 + 부모가 할 질문 + 메타센스 방식 + CTA 1개</x:v>
      </x:c>
      <x:c r="G21" s="18" t="str">
        <x:v>관련 자료 확인 또는 다음 편 이웃추가</x:v>
      </x:c>
      <x:c r="H21" s="18" t="str">
        <x:v>부모용 소개 카드 1장·학생용 초대 카드 1장</x:v>
      </x:c>
      <x:c r="I21" s="18" t="str">
        <x:v>교재·직접 시연·공개 동의된 기록</x:v>
      </x:c>
      <x:c r="J21" s="22" t="str">
        <x:v>초안 전</x:v>
      </x:c>
      <x:c r="K21" s="18"/>
    </x:row>
    <x:row r="22" ht="84" customHeight="1">
      <x:c r="A22" s="18" t="str">
        <x:v>W03-R1</x:v>
      </x:c>
      <x:c r="B22" s="18" t="n">
        <x:v>3</x:v>
      </x:c>
      <x:c r="C22" s="20" t="n">
        <x:v>46288</x:v>
      </x:c>
      <x:c r="D22" s="18" t="str">
        <x:v>인스타 릴스 → 클립·쇼츠 재배포</x:v>
      </x:c>
      <x:c r="E22" s="18" t="str">
        <x:v>가족끼리 풀어보는 나눗셈 이야기</x:v>
      </x:c>
      <x:c r="F22" s="18" t="str">
        <x:v>첫 질문 3초 → 실제 시연 → 관찰 포인트 → 다음 편 안내. 25~50초는 시험 형식.</x:v>
      </x:c>
      <x:c r="G22" s="18" t="str">
        <x:v>시리즈 팔로우 / 관련 글 / 요청 자료 중 하나</x:v>
      </x:c>
      <x:c r="H22" s="18" t="str">
        <x:v>부모용 소개 카드 1장·학생용 초대 카드 1장</x:v>
      </x:c>
      <x:c r="I22" s="18" t="str">
        <x:v>직접 촬영. 개인정보 제거. 타 플랫폼 재사용 가능한 음원만</x:v>
      </x:c>
      <x:c r="J22" s="22" t="str">
        <x:v>초안 전</x:v>
      </x:c>
      <x:c r="K22" s="18"/>
    </x:row>
    <x:row r="23" ht="84" customHeight="1">
      <x:c r="A23" s="18" t="str">
        <x:v>W03-R2</x:v>
      </x:c>
      <x:c r="B23" s="18" t="n">
        <x:v>3</x:v>
      </x:c>
      <x:c r="C23" s="20" t="n">
        <x:v>46290</x:v>
      </x:c>
      <x:c r="D23" s="18" t="str">
        <x:v>인스타 릴스 → 클립·쇼츠 재배포</x:v>
      </x:c>
      <x:c r="E23" s="18" t="str">
        <x:v>아이 설명을 끊지 않는 후속 질문</x:v>
      </x:c>
      <x:c r="F23" s="18" t="str">
        <x:v>첫 질문 3초 → 실제 시연 → 관찰 포인트 → 다음 편 안내. 25~50초는 시험 형식.</x:v>
      </x:c>
      <x:c r="G23" s="18" t="str">
        <x:v>시리즈 팔로우 / 관련 글 / 요청 자료 중 하나</x:v>
      </x:c>
      <x:c r="H23" s="18" t="str">
        <x:v>부모용 소개 카드 1장·학생용 초대 카드 1장</x:v>
      </x:c>
      <x:c r="I23" s="18" t="str">
        <x:v>직접 촬영. 개인정보 제거. 타 플랫폼 재사용 가능한 음원만</x:v>
      </x:c>
      <x:c r="J23" s="22" t="str">
        <x:v>초안 전</x:v>
      </x:c>
      <x:c r="K23" s="18"/>
    </x:row>
    <x:row r="24" ht="84" customHeight="1">
      <x:c r="A24" s="18" t="str">
        <x:v>W03-R3</x:v>
      </x:c>
      <x:c r="B24" s="18" t="n">
        <x:v>3</x:v>
      </x:c>
      <x:c r="C24" s="20" t="n">
        <x:v>46291</x:v>
      </x:c>
      <x:c r="D24" s="18" t="str">
        <x:v>인스타 릴스 → 클립·쇼츠 재배포</x:v>
      </x:c>
      <x:c r="E24" s="18" t="str">
        <x:v>메타센스 체험: 일반 신청과 친구 초대의 차이</x:v>
      </x:c>
      <x:c r="F24" s="18" t="str">
        <x:v>첫 질문 3초 → 실제 시연 → 관찰 포인트 → 다음 편 안내. 25~50초는 시험 형식.</x:v>
      </x:c>
      <x:c r="G24" s="18" t="str">
        <x:v>시리즈 팔로우 / 관련 글 / 요청 자료 중 하나</x:v>
      </x:c>
      <x:c r="H24" s="18" t="str">
        <x:v>부모용 소개 카드 1장·학생용 초대 카드 1장</x:v>
      </x:c>
      <x:c r="I24" s="18" t="str">
        <x:v>직접 촬영. 개인정보 제거. 타 플랫폼 재사용 가능한 음원만</x:v>
      </x:c>
      <x:c r="J24" s="22" t="str">
        <x:v>초안 전</x:v>
      </x:c>
      <x:c r="K24" s="18"/>
    </x:row>
    <x:row r="25" ht="84" customHeight="1">
      <x:c r="A25" s="18" t="str">
        <x:v>W03-C1</x:v>
      </x:c>
      <x:c r="B25" s="18" t="n">
        <x:v>3</x:v>
      </x:c>
      <x:c r="C25" s="20" t="n">
        <x:v>46293</x:v>
      </x:c>
      <x:c r="D25" s="18" t="str">
        <x:v>인스타 카드형 게시물</x:v>
      </x:c>
      <x:c r="E25" s="18" t="str">
        <x:v>가족 대화 질문 카드</x:v>
      </x:c>
      <x:c r="F25" s="18" t="str">
        <x:v>5~7장: 질문 → 예시 → 정리 → 다음편</x:v>
      </x:c>
      <x:c r="G25" s="18" t="str">
        <x:v>저장·다음편 안내 중 하나</x:v>
      </x:c>
      <x:c r="H25" s="18" t="str">
        <x:v>부모용 소개 카드 1장·학생용 초대 카드 1장</x:v>
      </x:c>
      <x:c r="I25" s="18" t="str">
        <x:v>자체 제작 자료</x:v>
      </x:c>
      <x:c r="J25" s="22" t="str">
        <x:v>초안 전</x:v>
      </x:c>
      <x:c r="K25" s="18"/>
    </x:row>
    <x:row r="26" ht="84" customHeight="1">
      <x:c r="A26" s="18" t="str">
        <x:v>W03-K1</x:v>
      </x:c>
      <x:c r="B26" s="18" t="n">
        <x:v>3</x:v>
      </x:c>
      <x:c r="C26" s="20" t="n">
        <x:v>46289</x:v>
      </x:c>
      <x:c r="D26" s="18" t="str">
        <x:v>카카오 채널 소식</x:v>
      </x:c>
      <x:c r="E26" s="18" t="str">
        <x:v>추석 가족 대화와 자연스러운 소개</x:v>
      </x:c>
      <x:c r="F26" s="18" t="str">
        <x:v>좋은 콘텐츠 1개를 3~5문장으로 요약</x:v>
      </x:c>
      <x:c r="G26" s="18" t="str">
        <x:v>관련 글 또는 자료 메뉴 1개</x:v>
      </x:c>
      <x:c r="H26" s="18" t="str">
        <x:v>부모용 소개 카드 1장·학생용 초대 카드 1장</x:v>
      </x:c>
      <x:c r="I26" s="18" t="str">
        <x:v>채널 소식 게시 ≠ 전체 메시지 발송</x:v>
      </x:c>
      <x:c r="J26" s="22" t="str">
        <x:v>초안 전</x:v>
      </x:c>
      <x:c r="K26" s="18"/>
    </x:row>
    <x:row r="27" ht="84" customHeight="1">
      <x:c r="A27" s="18" t="str">
        <x:v>W04-B1</x:v>
      </x:c>
      <x:c r="B27" s="18" t="n">
        <x:v>4</x:v>
      </x:c>
      <x:c r="C27" s="20" t="n">
        <x:v>46294</x:v>
      </x:c>
      <x:c r="D27" s="18" t="str">
        <x:v>네이버 블로그</x:v>
      </x:c>
      <x:c r="E27" s="18" t="str">
        <x:v>초등수학 온라인 수업, 체험할 때 확인할 5가지</x:v>
      </x:c>
      <x:c r="F27" s="18" t="str">
        <x:v>실제 학습 예시 1개 + 부모가 할 질문 + 메타센스 방식 + CTA 1개</x:v>
      </x:c>
      <x:c r="G27" s="18" t="str">
        <x:v>관련 자료 확인 또는 다음 편 이웃추가</x:v>
      </x:c>
      <x:c r="H27" s="18" t="str">
        <x:v>40분 설명회 자료·신청 페이지·질문 수집</x:v>
      </x:c>
      <x:c r="I27" s="18" t="str">
        <x:v>교재·직접 시연·공개 동의된 기록</x:v>
      </x:c>
      <x:c r="J27" s="22" t="str">
        <x:v>초안 전</x:v>
      </x:c>
      <x:c r="K27" s="18"/>
    </x:row>
    <x:row r="28" ht="84" customHeight="1">
      <x:c r="A28" s="18" t="str">
        <x:v>W04-B2</x:v>
      </x:c>
      <x:c r="B28" s="18" t="n">
        <x:v>4</x:v>
      </x:c>
      <x:c r="C28" s="20" t="n">
        <x:v>46296</x:v>
      </x:c>
      <x:c r="D28" s="18" t="str">
        <x:v>네이버 블로그</x:v>
      </x:c>
      <x:c r="E28" s="18" t="str">
        <x:v>학부모 질문 모음: 부모는 옆에서 얼마나 도와야 하나요?</x:v>
      </x:c>
      <x:c r="F28" s="18" t="str">
        <x:v>실제 학습 예시 1개 + 부모가 할 질문 + 메타센스 방식 + CTA 1개</x:v>
      </x:c>
      <x:c r="G28" s="18" t="str">
        <x:v>관련 자료 확인 또는 다음 편 이웃추가</x:v>
      </x:c>
      <x:c r="H28" s="18" t="str">
        <x:v>40분 설명회 자료·신청 페이지·질문 수집</x:v>
      </x:c>
      <x:c r="I28" s="18" t="str">
        <x:v>교재·직접 시연·공개 동의된 기록</x:v>
      </x:c>
      <x:c r="J28" s="22" t="str">
        <x:v>초안 전</x:v>
      </x:c>
      <x:c r="K28" s="18"/>
    </x:row>
    <x:row r="29" ht="84" customHeight="1">
      <x:c r="A29" s="18" t="str">
        <x:v>W04-R1</x:v>
      </x:c>
      <x:c r="B29" s="18" t="n">
        <x:v>4</x:v>
      </x:c>
      <x:c r="C29" s="20" t="n">
        <x:v>46295</x:v>
      </x:c>
      <x:c r="D29" s="18" t="str">
        <x:v>인스타 릴스 → 클립·쇼츠 재배포</x:v>
      </x:c>
      <x:c r="E29" s="18" t="str">
        <x:v>부모가 계속 옆에 있어야 할까요?</x:v>
      </x:c>
      <x:c r="F29" s="18" t="str">
        <x:v>첫 질문 3초 → 실제 시연 → 관찰 포인트 → 다음 편 안내. 25~50초는 시험 형식.</x:v>
      </x:c>
      <x:c r="G29" s="18" t="str">
        <x:v>시리즈 팔로우 / 관련 글 / 요청 자료 중 하나</x:v>
      </x:c>
      <x:c r="H29" s="18" t="str">
        <x:v>40분 설명회 자료·신청 페이지·질문 수집</x:v>
      </x:c>
      <x:c r="I29" s="18" t="str">
        <x:v>직접 촬영. 개인정보 제거. 타 플랫폼 재사용 가능한 음원만</x:v>
      </x:c>
      <x:c r="J29" s="22" t="str">
        <x:v>초안 전</x:v>
      </x:c>
      <x:c r="K29" s="18"/>
    </x:row>
    <x:row r="30" ht="84" customHeight="1">
      <x:c r="A30" s="18" t="str">
        <x:v>W04-R2</x:v>
      </x:c>
      <x:c r="B30" s="18" t="n">
        <x:v>4</x:v>
      </x:c>
      <x:c r="C30" s="20" t="n">
        <x:v>46297</x:v>
      </x:c>
      <x:c r="D30" s="18" t="str">
        <x:v>인스타 릴스 → 클립·쇼츠 재배포</x:v>
      </x:c>
      <x:c r="E30" s="18" t="str">
        <x:v>메타센스에서 막혔을 때 도움받는 장면</x:v>
      </x:c>
      <x:c r="F30" s="18" t="str">
        <x:v>첫 질문 3초 → 실제 시연 → 관찰 포인트 → 다음 편 안내. 25~50초는 시험 형식.</x:v>
      </x:c>
      <x:c r="G30" s="18" t="str">
        <x:v>시리즈 팔로우 / 관련 글 / 요청 자료 중 하나</x:v>
      </x:c>
      <x:c r="H30" s="18" t="str">
        <x:v>40분 설명회 자료·신청 페이지·질문 수집</x:v>
      </x:c>
      <x:c r="I30" s="18" t="str">
        <x:v>직접 촬영. 개인정보 제거. 타 플랫폼 재사용 가능한 음원만</x:v>
      </x:c>
      <x:c r="J30" s="22" t="str">
        <x:v>초안 전</x:v>
      </x:c>
      <x:c r="K30" s="18"/>
    </x:row>
    <x:row r="31" ht="84" customHeight="1">
      <x:c r="A31" s="18" t="str">
        <x:v>W04-R3</x:v>
      </x:c>
      <x:c r="B31" s="18" t="n">
        <x:v>4</x:v>
      </x:c>
      <x:c r="C31" s="20" t="n">
        <x:v>46298</x:v>
      </x:c>
      <x:c r="D31" s="18" t="str">
        <x:v>인스타 릴스 → 클립·쇼츠 재배포</x:v>
      </x:c>
      <x:c r="E31" s="18" t="str">
        <x:v>무료 설명회에서 직접 확인할 것</x:v>
      </x:c>
      <x:c r="F31" s="18" t="str">
        <x:v>첫 질문 3초 → 실제 시연 → 관찰 포인트 → 다음 편 안내. 25~50초는 시험 형식.</x:v>
      </x:c>
      <x:c r="G31" s="18" t="str">
        <x:v>시리즈 팔로우 / 관련 글 / 요청 자료 중 하나</x:v>
      </x:c>
      <x:c r="H31" s="18" t="str">
        <x:v>40분 설명회 자료·신청 페이지·질문 수집</x:v>
      </x:c>
      <x:c r="I31" s="18" t="str">
        <x:v>직접 촬영. 개인정보 제거. 타 플랫폼 재사용 가능한 음원만</x:v>
      </x:c>
      <x:c r="J31" s="22" t="str">
        <x:v>초안 전</x:v>
      </x:c>
      <x:c r="K31" s="18"/>
    </x:row>
    <x:row r="32" ht="84" customHeight="1">
      <x:c r="A32" s="18" t="str">
        <x:v>W04-C1</x:v>
      </x:c>
      <x:c r="B32" s="18" t="n">
        <x:v>4</x:v>
      </x:c>
      <x:c r="C32" s="20" t="n">
        <x:v>46300</x:v>
      </x:c>
      <x:c r="D32" s="18" t="str">
        <x:v>인스타 카드형 게시물</x:v>
      </x:c>
      <x:c r="E32" s="18" t="str">
        <x:v>온라인 수업 선택 체크리스트</x:v>
      </x:c>
      <x:c r="F32" s="18" t="str">
        <x:v>5~7장: 질문 → 예시 → 정리 → 다음편</x:v>
      </x:c>
      <x:c r="G32" s="18" t="str">
        <x:v>저장·다음편 안내 중 하나</x:v>
      </x:c>
      <x:c r="H32" s="18" t="str">
        <x:v>40분 설명회 자료·신청 페이지·질문 수집</x:v>
      </x:c>
      <x:c r="I32" s="18" t="str">
        <x:v>자체 제작 자료</x:v>
      </x:c>
      <x:c r="J32" s="22" t="str">
        <x:v>초안 전</x:v>
      </x:c>
      <x:c r="K32" s="18"/>
    </x:row>
    <x:row r="33" ht="84" customHeight="1">
      <x:c r="A33" s="18" t="str">
        <x:v>W04-K1</x:v>
      </x:c>
      <x:c r="B33" s="18" t="n">
        <x:v>4</x:v>
      </x:c>
      <x:c r="C33" s="20" t="n">
        <x:v>46296</x:v>
      </x:c>
      <x:c r="D33" s="18" t="str">
        <x:v>카카오 채널 소식</x:v>
      </x:c>
      <x:c r="E33" s="18" t="str">
        <x:v>첫 공동 설명회로 접점 확대</x:v>
      </x:c>
      <x:c r="F33" s="18" t="str">
        <x:v>좋은 콘텐츠 1개를 3~5문장으로 요약</x:v>
      </x:c>
      <x:c r="G33" s="18" t="str">
        <x:v>관련 글 또는 자료 메뉴 1개</x:v>
      </x:c>
      <x:c r="H33" s="18" t="str">
        <x:v>40분 설명회 자료·신청 페이지·질문 수집</x:v>
      </x:c>
      <x:c r="I33" s="18" t="str">
        <x:v>채널 소식 게시 ≠ 전체 메시지 발송</x:v>
      </x:c>
      <x:c r="J33" s="22" t="str">
        <x:v>초안 전</x:v>
      </x:c>
      <x:c r="K33" s="18"/>
    </x:row>
    <x:row r="34" ht="84" customHeight="1">
      <x:c r="A34" s="18" t="str">
        <x:v>W05-B1</x:v>
      </x:c>
      <x:c r="B34" s="18" t="n">
        <x:v>5</x:v>
      </x:c>
      <x:c r="C34" s="20" t="n">
        <x:v>46301</x:v>
      </x:c>
      <x:c r="D34" s="18" t="str">
        <x:v>네이버 블로그</x:v>
      </x:c>
      <x:c r="E34" s="18" t="str">
        <x:v>스크래치 다음 파이썬, 준비 상태를 살펴보는 질문</x:v>
      </x:c>
      <x:c r="F34" s="18" t="str">
        <x:v>실제 학습 예시 1개 + 부모가 할 질문 + 메타센스 방식 + CTA 1개</x:v>
      </x:c>
      <x:c r="G34" s="18" t="str">
        <x:v>관련 자료 확인 또는 다음 편 이웃추가</x:v>
      </x:c>
      <x:c r="H34" s="18" t="str">
        <x:v>파이썬 시작 로드맵·기기 준비표</x:v>
      </x:c>
      <x:c r="I34" s="18" t="str">
        <x:v>교재·직접 시연·공개 동의된 기록</x:v>
      </x:c>
      <x:c r="J34" s="22" t="str">
        <x:v>초안 전</x:v>
      </x:c>
      <x:c r="K34" s="18"/>
    </x:row>
    <x:row r="35" ht="84" customHeight="1">
      <x:c r="A35" s="18" t="str">
        <x:v>W05-B2</x:v>
      </x:c>
      <x:c r="B35" s="18" t="n">
        <x:v>5</x:v>
      </x:c>
      <x:c r="C35" s="20" t="n">
        <x:v>46303</x:v>
      </x:c>
      <x:c r="D35" s="18" t="str">
        <x:v>네이버 블로그</x:v>
      </x:c>
      <x:c r="E35" s="18" t="str">
        <x:v>초등학생 파이썬 수업: 복사하기와 직접 만들기의 차이</x:v>
      </x:c>
      <x:c r="F35" s="18" t="str">
        <x:v>실제 학습 예시 1개 + 부모가 할 질문 + 메타센스 방식 + CTA 1개</x:v>
      </x:c>
      <x:c r="G35" s="18" t="str">
        <x:v>관련 자료 확인 또는 다음 편 이웃추가</x:v>
      </x:c>
      <x:c r="H35" s="18" t="str">
        <x:v>파이썬 시작 로드맵·기기 준비표</x:v>
      </x:c>
      <x:c r="I35" s="18" t="str">
        <x:v>교재·직접 시연·공개 동의된 기록</x:v>
      </x:c>
      <x:c r="J35" s="22" t="str">
        <x:v>초안 전</x:v>
      </x:c>
      <x:c r="K35" s="18"/>
    </x:row>
    <x:row r="36" ht="84" customHeight="1">
      <x:c r="A36" s="18" t="str">
        <x:v>W05-R1</x:v>
      </x:c>
      <x:c r="B36" s="18" t="n">
        <x:v>5</x:v>
      </x:c>
      <x:c r="C36" s="20" t="n">
        <x:v>46302</x:v>
      </x:c>
      <x:c r="D36" s="18" t="str">
        <x:v>인스타 릴스 → 클립·쇼츠 재배포</x:v>
      </x:c>
      <x:c r="E36" s="18" t="str">
        <x:v>블록코딩을 했으면 바로 파이썬을 시작해도 될까요?</x:v>
      </x:c>
      <x:c r="F36" s="18" t="str">
        <x:v>첫 질문 3초 → 실제 시연 → 관찰 포인트 → 다음 편 안내. 25~50초는 시험 형식.</x:v>
      </x:c>
      <x:c r="G36" s="18" t="str">
        <x:v>시리즈 팔로우 / 관련 글 / 요청 자료 중 하나</x:v>
      </x:c>
      <x:c r="H36" s="18" t="str">
        <x:v>파이썬 시작 로드맵·기기 준비표</x:v>
      </x:c>
      <x:c r="I36" s="18" t="str">
        <x:v>직접 촬영. 개인정보 제거. 타 플랫폼 재사용 가능한 음원만</x:v>
      </x:c>
      <x:c r="J36" s="22" t="str">
        <x:v>초안 전</x:v>
      </x:c>
      <x:c r="K36" s="18"/>
    </x:row>
    <x:row r="37" ht="84" customHeight="1">
      <x:c r="A37" s="18" t="str">
        <x:v>W05-R2</x:v>
      </x:c>
      <x:c r="B37" s="18" t="n">
        <x:v>5</x:v>
      </x:c>
      <x:c r="C37" s="20" t="n">
        <x:v>46304</x:v>
      </x:c>
      <x:c r="D37" s="18" t="str">
        <x:v>인스타 릴스 → 클립·쇼츠 재배포</x:v>
      </x:c>
      <x:c r="E37" s="18" t="str">
        <x:v>코드 한 줄을 바꾸면 생기는 일</x:v>
      </x:c>
      <x:c r="F37" s="18" t="str">
        <x:v>첫 질문 3초 → 실제 시연 → 관찰 포인트 → 다음 편 안내. 25~50초는 시험 형식.</x:v>
      </x:c>
      <x:c r="G37" s="18" t="str">
        <x:v>시리즈 팔로우 / 관련 글 / 요청 자료 중 하나</x:v>
      </x:c>
      <x:c r="H37" s="18" t="str">
        <x:v>파이썬 시작 로드맵·기기 준비표</x:v>
      </x:c>
      <x:c r="I37" s="18" t="str">
        <x:v>직접 촬영. 개인정보 제거. 타 플랫폼 재사용 가능한 음원만</x:v>
      </x:c>
      <x:c r="J37" s="22" t="str">
        <x:v>초안 전</x:v>
      </x:c>
      <x:c r="K37" s="18"/>
    </x:row>
    <x:row r="38" ht="84" customHeight="1">
      <x:c r="A38" s="18" t="str">
        <x:v>W05-R3</x:v>
      </x:c>
      <x:c r="B38" s="18" t="n">
        <x:v>5</x:v>
      </x:c>
      <x:c r="C38" s="20" t="n">
        <x:v>46305</x:v>
      </x:c>
      <x:c r="D38" s="18" t="str">
        <x:v>인스타 릴스 → 클립·쇼츠 재배포</x:v>
      </x:c>
      <x:c r="E38" s="18" t="str">
        <x:v>오류가 나면 학습은 끝일까요?</x:v>
      </x:c>
      <x:c r="F38" s="18" t="str">
        <x:v>첫 질문 3초 → 실제 시연 → 관찰 포인트 → 다음 편 안내. 25~50초는 시험 형식.</x:v>
      </x:c>
      <x:c r="G38" s="18" t="str">
        <x:v>시리즈 팔로우 / 관련 글 / 요청 자료 중 하나</x:v>
      </x:c>
      <x:c r="H38" s="18" t="str">
        <x:v>파이썬 시작 로드맵·기기 준비표</x:v>
      </x:c>
      <x:c r="I38" s="18" t="str">
        <x:v>직접 촬영. 개인정보 제거. 타 플랫폼 재사용 가능한 음원만</x:v>
      </x:c>
      <x:c r="J38" s="22" t="str">
        <x:v>초안 전</x:v>
      </x:c>
      <x:c r="K38" s="18"/>
    </x:row>
    <x:row r="39" ht="84" customHeight="1">
      <x:c r="A39" s="18" t="str">
        <x:v>W05-C1</x:v>
      </x:c>
      <x:c r="B39" s="18" t="n">
        <x:v>5</x:v>
      </x:c>
      <x:c r="C39" s="20" t="n">
        <x:v>46307</x:v>
      </x:c>
      <x:c r="D39" s="18" t="str">
        <x:v>인스타 카드형 게시물</x:v>
      </x:c>
      <x:c r="E39" s="18" t="str">
        <x:v>파이썬 입문 준비 체크리스트</x:v>
      </x:c>
      <x:c r="F39" s="18" t="str">
        <x:v>5~7장: 질문 → 예시 → 정리 → 다음편</x:v>
      </x:c>
      <x:c r="G39" s="18" t="str">
        <x:v>저장·다음편 안내 중 하나</x:v>
      </x:c>
      <x:c r="H39" s="18" t="str">
        <x:v>파이썬 시작 로드맵·기기 준비표</x:v>
      </x:c>
      <x:c r="I39" s="18" t="str">
        <x:v>자체 제작 자료</x:v>
      </x:c>
      <x:c r="J39" s="22" t="str">
        <x:v>초안 전</x:v>
      </x:c>
      <x:c r="K39" s="18"/>
    </x:row>
    <x:row r="40" ht="84" customHeight="1">
      <x:c r="A40" s="18" t="str">
        <x:v>W05-K1</x:v>
      </x:c>
      <x:c r="B40" s="18" t="n">
        <x:v>5</x:v>
      </x:c>
      <x:c r="C40" s="20" t="n">
        <x:v>46303</x:v>
      </x:c>
      <x:c r="D40" s="18" t="str">
        <x:v>카카오 채널 소식</x:v>
      </x:c>
      <x:c r="E40" s="18" t="str">
        <x:v>파이썬 입문 수요 검증</x:v>
      </x:c>
      <x:c r="F40" s="18" t="str">
        <x:v>좋은 콘텐츠 1개를 3~5문장으로 요약</x:v>
      </x:c>
      <x:c r="G40" s="18" t="str">
        <x:v>관련 글 또는 자료 메뉴 1개</x:v>
      </x:c>
      <x:c r="H40" s="18" t="str">
        <x:v>파이썬 시작 로드맵·기기 준비표</x:v>
      </x:c>
      <x:c r="I40" s="18" t="str">
        <x:v>채널 소식 게시 ≠ 전체 메시지 발송</x:v>
      </x:c>
      <x:c r="J40" s="22" t="str">
        <x:v>초안 전</x:v>
      </x:c>
      <x:c r="K40" s="18"/>
    </x:row>
    <x:row r="41" ht="84" customHeight="1">
      <x:c r="A41" s="18" t="str">
        <x:v>W06-B1</x:v>
      </x:c>
      <x:c r="B41" s="18" t="n">
        <x:v>6</x:v>
      </x:c>
      <x:c r="C41" s="20" t="n">
        <x:v>46308</x:v>
      </x:c>
      <x:c r="D41" s="18" t="str">
        <x:v>네이버 블로그</x:v>
      </x:c>
      <x:c r="E41" s="18" t="str">
        <x:v>책을 읽고 재미있었어로 끝날 때 이어갈 질문</x:v>
      </x:c>
      <x:c r="F41" s="18" t="str">
        <x:v>실제 학습 예시 1개 + 부모가 할 질문 + 메타센스 방식 + CTA 1개</x:v>
      </x:c>
      <x:c r="G41" s="18" t="str">
        <x:v>관련 자료 확인 또는 다음 편 이웃추가</x:v>
      </x:c>
      <x:c r="H41" s="18" t="str">
        <x:v>독서 대화 질문표·학생/성인 대상 구분 안내</x:v>
      </x:c>
      <x:c r="I41" s="18" t="str">
        <x:v>교재·직접 시연·공개 동의된 기록</x:v>
      </x:c>
      <x:c r="J41" s="22" t="str">
        <x:v>초안 전</x:v>
      </x:c>
      <x:c r="K41" s="18"/>
    </x:row>
    <x:row r="42" ht="84" customHeight="1">
      <x:c r="A42" s="18" t="str">
        <x:v>W06-B2</x:v>
      </x:c>
      <x:c r="B42" s="18" t="n">
        <x:v>6</x:v>
      </x:c>
      <x:c r="C42" s="20" t="n">
        <x:v>46310</x:v>
      </x:c>
      <x:c r="D42" s="18" t="str">
        <x:v>네이버 블로그</x:v>
      </x:c>
      <x:c r="E42" s="18" t="str">
        <x:v>고전읽기 수업의 대상과 실제 진행 방식</x:v>
      </x:c>
      <x:c r="F42" s="18" t="str">
        <x:v>실제 학습 예시 1개 + 부모가 할 질문 + 메타센스 방식 + CTA 1개</x:v>
      </x:c>
      <x:c r="G42" s="18" t="str">
        <x:v>관련 자료 확인 또는 다음 편 이웃추가</x:v>
      </x:c>
      <x:c r="H42" s="18" t="str">
        <x:v>독서 대화 질문표·학생/성인 대상 구분 안내</x:v>
      </x:c>
      <x:c r="I42" s="18" t="str">
        <x:v>교재·직접 시연·공개 동의된 기록</x:v>
      </x:c>
      <x:c r="J42" s="22" t="str">
        <x:v>초안 전</x:v>
      </x:c>
      <x:c r="K42" s="18"/>
    </x:row>
    <x:row r="43" ht="84" customHeight="1">
      <x:c r="A43" s="18" t="str">
        <x:v>W06-R1</x:v>
      </x:c>
      <x:c r="B43" s="18" t="n">
        <x:v>6</x:v>
      </x:c>
      <x:c r="C43" s="20" t="n">
        <x:v>46309</x:v>
      </x:c>
      <x:c r="D43" s="18" t="str">
        <x:v>인스타 릴스 → 클립·쇼츠 재배포</x:v>
      </x:c>
      <x:c r="E43" s="18" t="str">
        <x:v>정답 없는 질문을 만드는 법</x:v>
      </x:c>
      <x:c r="F43" s="18" t="str">
        <x:v>첫 질문 3초 → 실제 시연 → 관찰 포인트 → 다음 편 안내. 25~50초는 시험 형식.</x:v>
      </x:c>
      <x:c r="G43" s="18" t="str">
        <x:v>시리즈 팔로우 / 관련 글 / 요청 자료 중 하나</x:v>
      </x:c>
      <x:c r="H43" s="18" t="str">
        <x:v>독서 대화 질문표·학생/성인 대상 구분 안내</x:v>
      </x:c>
      <x:c r="I43" s="18" t="str">
        <x:v>직접 촬영. 개인정보 제거. 타 플랫폼 재사용 가능한 음원만</x:v>
      </x:c>
      <x:c r="J43" s="22" t="str">
        <x:v>초안 전</x:v>
      </x:c>
      <x:c r="K43" s="18"/>
    </x:row>
    <x:row r="44" ht="84" customHeight="1">
      <x:c r="A44" s="18" t="str">
        <x:v>W06-R2</x:v>
      </x:c>
      <x:c r="B44" s="18" t="n">
        <x:v>6</x:v>
      </x:c>
      <x:c r="C44" s="20" t="n">
        <x:v>46311</x:v>
      </x:c>
      <x:c r="D44" s="18" t="str">
        <x:v>인스타 릴스 → 클립·쇼츠 재배포</x:v>
      </x:c>
      <x:c r="E44" s="18" t="str">
        <x:v>책 한 문장에서 대화 시작하기</x:v>
      </x:c>
      <x:c r="F44" s="18" t="str">
        <x:v>첫 질문 3초 → 실제 시연 → 관찰 포인트 → 다음 편 안내. 25~50초는 시험 형식.</x:v>
      </x:c>
      <x:c r="G44" s="18" t="str">
        <x:v>시리즈 팔로우 / 관련 글 / 요청 자료 중 하나</x:v>
      </x:c>
      <x:c r="H44" s="18" t="str">
        <x:v>독서 대화 질문표·학생/성인 대상 구분 안내</x:v>
      </x:c>
      <x:c r="I44" s="18" t="str">
        <x:v>직접 촬영. 개인정보 제거. 타 플랫폼 재사용 가능한 음원만</x:v>
      </x:c>
      <x:c r="J44" s="22" t="str">
        <x:v>초안 전</x:v>
      </x:c>
      <x:c r="K44" s="18"/>
    </x:row>
    <x:row r="45" ht="84" customHeight="1">
      <x:c r="A45" s="18" t="str">
        <x:v>W06-R3</x:v>
      </x:c>
      <x:c r="B45" s="18" t="n">
        <x:v>6</x:v>
      </x:c>
      <x:c r="C45" s="20" t="n">
        <x:v>46312</x:v>
      </x:c>
      <x:c r="D45" s="18" t="str">
        <x:v>인스타 릴스 → 클립·쇼츠 재배포</x:v>
      </x:c>
      <x:c r="E45" s="18" t="str">
        <x:v>고전읽기는 요약을 외우는 수업일까요?</x:v>
      </x:c>
      <x:c r="F45" s="18" t="str">
        <x:v>첫 질문 3초 → 실제 시연 → 관찰 포인트 → 다음 편 안내. 25~50초는 시험 형식.</x:v>
      </x:c>
      <x:c r="G45" s="18" t="str">
        <x:v>시리즈 팔로우 / 관련 글 / 요청 자료 중 하나</x:v>
      </x:c>
      <x:c r="H45" s="18" t="str">
        <x:v>독서 대화 질문표·학생/성인 대상 구분 안내</x:v>
      </x:c>
      <x:c r="I45" s="18" t="str">
        <x:v>직접 촬영. 개인정보 제거. 타 플랫폼 재사용 가능한 음원만</x:v>
      </x:c>
      <x:c r="J45" s="22" t="str">
        <x:v>초안 전</x:v>
      </x:c>
      <x:c r="K45" s="18"/>
    </x:row>
    <x:row r="46" ht="84" customHeight="1">
      <x:c r="A46" s="18" t="str">
        <x:v>W06-C1</x:v>
      </x:c>
      <x:c r="B46" s="18" t="n">
        <x:v>6</x:v>
      </x:c>
      <x:c r="C46" s="20" t="n">
        <x:v>46314</x:v>
      </x:c>
      <x:c r="D46" s="18" t="str">
        <x:v>인스타 카드형 게시물</x:v>
      </x:c>
      <x:c r="E46" s="18" t="str">
        <x:v>가족 독서 대화 질문 7개</x:v>
      </x:c>
      <x:c r="F46" s="18" t="str">
        <x:v>5~7장: 질문 → 예시 → 정리 → 다음편</x:v>
      </x:c>
      <x:c r="G46" s="18" t="str">
        <x:v>저장·다음편 안내 중 하나</x:v>
      </x:c>
      <x:c r="H46" s="18" t="str">
        <x:v>독서 대화 질문표·학생/성인 대상 구분 안내</x:v>
      </x:c>
      <x:c r="I46" s="18" t="str">
        <x:v>자체 제작 자료</x:v>
      </x:c>
      <x:c r="J46" s="22" t="str">
        <x:v>초안 전</x:v>
      </x:c>
      <x:c r="K46" s="18"/>
    </x:row>
    <x:row r="47" ht="84" customHeight="1">
      <x:c r="A47" s="18" t="str">
        <x:v>W06-K1</x:v>
      </x:c>
      <x:c r="B47" s="18" t="n">
        <x:v>6</x:v>
      </x:c>
      <x:c r="C47" s="20" t="n">
        <x:v>46310</x:v>
      </x:c>
      <x:c r="D47" s="18" t="str">
        <x:v>카카오 채널 소식</x:v>
      </x:c>
      <x:c r="E47" s="18" t="str">
        <x:v>고전읽기·질문 교육으로 접점 넓히기</x:v>
      </x:c>
      <x:c r="F47" s="18" t="str">
        <x:v>좋은 콘텐츠 1개를 3~5문장으로 요약</x:v>
      </x:c>
      <x:c r="G47" s="18" t="str">
        <x:v>관련 글 또는 자료 메뉴 1개</x:v>
      </x:c>
      <x:c r="H47" s="18" t="str">
        <x:v>독서 대화 질문표·학생/성인 대상 구분 안내</x:v>
      </x:c>
      <x:c r="I47" s="18" t="str">
        <x:v>채널 소식 게시 ≠ 전체 메시지 발송</x:v>
      </x:c>
      <x:c r="J47" s="22" t="str">
        <x:v>초안 전</x:v>
      </x:c>
      <x:c r="K47" s="18"/>
    </x:row>
    <x:row r="48" ht="84" customHeight="1">
      <x:c r="A48" s="18" t="str">
        <x:v>W07-B1</x:v>
      </x:c>
      <x:c r="B48" s="18" t="n">
        <x:v>7</x:v>
      </x:c>
      <x:c r="C48" s="20" t="n">
        <x:v>46315</x:v>
      </x:c>
      <x:c r="D48" s="18" t="str">
        <x:v>네이버 블로그</x:v>
      </x:c>
      <x:c r="E48" s="18" t="str">
        <x:v>아이가 같은 문제를 다시 틀릴 때 확인할 것</x:v>
      </x:c>
      <x:c r="F48" s="18" t="str">
        <x:v>실제 학습 예시 1개 + 부모가 할 질문 + 메타센스 방식 + CTA 1개</x:v>
      </x:c>
      <x:c r="G48" s="18" t="str">
        <x:v>관련 자료 확인 또는 다음 편 이웃추가</x:v>
      </x:c>
      <x:c r="H48" s="18" t="str">
        <x:v>익명화·공개 동의된 피드백 예시 또는 교사 재현 자료</x:v>
      </x:c>
      <x:c r="I48" s="18" t="str">
        <x:v>교재·직접 시연·공개 동의된 기록</x:v>
      </x:c>
      <x:c r="J48" s="22" t="str">
        <x:v>초안 전</x:v>
      </x:c>
      <x:c r="K48" s="18"/>
    </x:row>
    <x:row r="49" ht="84" customHeight="1">
      <x:c r="A49" s="18" t="str">
        <x:v>W07-B2</x:v>
      </x:c>
      <x:c r="B49" s="18" t="n">
        <x:v>7</x:v>
      </x:c>
      <x:c r="C49" s="20" t="n">
        <x:v>46317</x:v>
      </x:c>
      <x:c r="D49" s="18" t="str">
        <x:v>네이버 블로그</x:v>
      </x:c>
      <x:c r="E49" s="18" t="str">
        <x:v>파이썬 첫 작품을 만들며 배우는 오류 수정</x:v>
      </x:c>
      <x:c r="F49" s="18" t="str">
        <x:v>실제 학습 예시 1개 + 부모가 할 질문 + 메타센스 방식 + CTA 1개</x:v>
      </x:c>
      <x:c r="G49" s="18" t="str">
        <x:v>관련 자료 확인 또는 다음 편 이웃추가</x:v>
      </x:c>
      <x:c r="H49" s="18" t="str">
        <x:v>익명화·공개 동의된 피드백 예시 또는 교사 재현 자료</x:v>
      </x:c>
      <x:c r="I49" s="18" t="str">
        <x:v>교재·직접 시연·공개 동의된 기록</x:v>
      </x:c>
      <x:c r="J49" s="22" t="str">
        <x:v>초안 전</x:v>
      </x:c>
      <x:c r="K49" s="18"/>
    </x:row>
    <x:row r="50" ht="84" customHeight="1">
      <x:c r="A50" s="18" t="str">
        <x:v>W07-R1</x:v>
      </x:c>
      <x:c r="B50" s="18" t="n">
        <x:v>7</x:v>
      </x:c>
      <x:c r="C50" s="20" t="n">
        <x:v>46316</x:v>
      </x:c>
      <x:c r="D50" s="18" t="str">
        <x:v>인스타 릴스 → 클립·쇼츠 재배포</x:v>
      </x:c>
      <x:c r="E50" s="18" t="str">
        <x:v>피드백 전과 후: 달라진 풀이 한 줄</x:v>
      </x:c>
      <x:c r="F50" s="18" t="str">
        <x:v>첫 질문 3초 → 실제 시연 → 관찰 포인트 → 다음 편 안내. 25~50초는 시험 형식.</x:v>
      </x:c>
      <x:c r="G50" s="18" t="str">
        <x:v>시리즈 팔로우 / 관련 글 / 요청 자료 중 하나</x:v>
      </x:c>
      <x:c r="H50" s="18" t="str">
        <x:v>익명화·공개 동의된 피드백 예시 또는 교사 재현 자료</x:v>
      </x:c>
      <x:c r="I50" s="18" t="str">
        <x:v>직접 촬영. 개인정보 제거. 타 플랫폼 재사용 가능한 음원만</x:v>
      </x:c>
      <x:c r="J50" s="22" t="str">
        <x:v>초안 전</x:v>
      </x:c>
      <x:c r="K50" s="18"/>
    </x:row>
    <x:row r="51" ht="84" customHeight="1">
      <x:c r="A51" s="18" t="str">
        <x:v>W07-R2</x:v>
      </x:c>
      <x:c r="B51" s="18" t="n">
        <x:v>7</x:v>
      </x:c>
      <x:c r="C51" s="20" t="n">
        <x:v>46318</x:v>
      </x:c>
      <x:c r="D51" s="18" t="str">
        <x:v>인스타 릴스 → 클립·쇼츠 재배포</x:v>
      </x:c>
      <x:c r="E51" s="18" t="str">
        <x:v>작동하지 않는 코드를 같이 읽어봅니다</x:v>
      </x:c>
      <x:c r="F51" s="18" t="str">
        <x:v>첫 질문 3초 → 실제 시연 → 관찰 포인트 → 다음 편 안내. 25~50초는 시험 형식.</x:v>
      </x:c>
      <x:c r="G51" s="18" t="str">
        <x:v>시리즈 팔로우 / 관련 글 / 요청 자료 중 하나</x:v>
      </x:c>
      <x:c r="H51" s="18" t="str">
        <x:v>익명화·공개 동의된 피드백 예시 또는 교사 재현 자료</x:v>
      </x:c>
      <x:c r="I51" s="18" t="str">
        <x:v>직접 촬영. 개인정보 제거. 타 플랫폼 재사용 가능한 음원만</x:v>
      </x:c>
      <x:c r="J51" s="22" t="str">
        <x:v>초안 전</x:v>
      </x:c>
      <x:c r="K51" s="18"/>
    </x:row>
    <x:row r="52" ht="84" customHeight="1">
      <x:c r="A52" s="18" t="str">
        <x:v>W07-R3</x:v>
      </x:c>
      <x:c r="B52" s="18" t="n">
        <x:v>7</x:v>
      </x:c>
      <x:c r="C52" s="20" t="n">
        <x:v>46319</x:v>
      </x:c>
      <x:c r="D52" s="18" t="str">
        <x:v>인스타 릴스 → 클립·쇼츠 재배포</x:v>
      </x:c>
      <x:c r="E52" s="18" t="str">
        <x:v>첫 체험에서 무엇을 관찰하면 좋을까요?</x:v>
      </x:c>
      <x:c r="F52" s="18" t="str">
        <x:v>첫 질문 3초 → 실제 시연 → 관찰 포인트 → 다음 편 안내. 25~50초는 시험 형식.</x:v>
      </x:c>
      <x:c r="G52" s="18" t="str">
        <x:v>시리즈 팔로우 / 관련 글 / 요청 자료 중 하나</x:v>
      </x:c>
      <x:c r="H52" s="18" t="str">
        <x:v>익명화·공개 동의된 피드백 예시 또는 교사 재현 자료</x:v>
      </x:c>
      <x:c r="I52" s="18" t="str">
        <x:v>직접 촬영. 개인정보 제거. 타 플랫폼 재사용 가능한 음원만</x:v>
      </x:c>
      <x:c r="J52" s="22" t="str">
        <x:v>초안 전</x:v>
      </x:c>
      <x:c r="K52" s="18"/>
    </x:row>
    <x:row r="53" ht="84" customHeight="1">
      <x:c r="A53" s="18" t="str">
        <x:v>W07-C1</x:v>
      </x:c>
      <x:c r="B53" s="18" t="n">
        <x:v>7</x:v>
      </x:c>
      <x:c r="C53" s="20" t="n">
        <x:v>46321</x:v>
      </x:c>
      <x:c r="D53" s="18" t="str">
        <x:v>인스타 카드형 게시물</x:v>
      </x:c>
      <x:c r="E53" s="18" t="str">
        <x:v>체험 첫 주 관찰표</x:v>
      </x:c>
      <x:c r="F53" s="18" t="str">
        <x:v>5~7장: 질문 → 예시 → 정리 → 다음편</x:v>
      </x:c>
      <x:c r="G53" s="18" t="str">
        <x:v>저장·다음편 안내 중 하나</x:v>
      </x:c>
      <x:c r="H53" s="18" t="str">
        <x:v>익명화·공개 동의된 피드백 예시 또는 교사 재현 자료</x:v>
      </x:c>
      <x:c r="I53" s="18" t="str">
        <x:v>자체 제작 자료</x:v>
      </x:c>
      <x:c r="J53" s="22" t="str">
        <x:v>초안 전</x:v>
      </x:c>
      <x:c r="K53" s="18"/>
    </x:row>
    <x:row r="54" ht="84" customHeight="1">
      <x:c r="A54" s="18" t="str">
        <x:v>W07-K1</x:v>
      </x:c>
      <x:c r="B54" s="18" t="n">
        <x:v>7</x:v>
      </x:c>
      <x:c r="C54" s="20" t="n">
        <x:v>46317</x:v>
      </x:c>
      <x:c r="D54" s="18" t="str">
        <x:v>카카오 채널 소식</x:v>
      </x:c>
      <x:c r="E54" s="18" t="str">
        <x:v>두 번째 설명회와 실제 피드백</x:v>
      </x:c>
      <x:c r="F54" s="18" t="str">
        <x:v>좋은 콘텐츠 1개를 3~5문장으로 요약</x:v>
      </x:c>
      <x:c r="G54" s="18" t="str">
        <x:v>관련 글 또는 자료 메뉴 1개</x:v>
      </x:c>
      <x:c r="H54" s="18" t="str">
        <x:v>익명화·공개 동의된 피드백 예시 또는 교사 재현 자료</x:v>
      </x:c>
      <x:c r="I54" s="18" t="str">
        <x:v>채널 소식 게시 ≠ 전체 메시지 발송</x:v>
      </x:c>
      <x:c r="J54" s="22" t="str">
        <x:v>초안 전</x:v>
      </x:c>
      <x:c r="K54" s="18"/>
    </x:row>
    <x:row r="55" ht="84" customHeight="1">
      <x:c r="A55" s="18" t="str">
        <x:v>W08-B1</x:v>
      </x:c>
      <x:c r="B55" s="18" t="n">
        <x:v>8</x:v>
      </x:c>
      <x:c r="C55" s="20" t="n">
        <x:v>46322</x:v>
      </x:c>
      <x:c r="D55" s="18" t="str">
        <x:v>네이버 블로그</x:v>
      </x:c>
      <x:c r="E55" s="18" t="str">
        <x:v>하루 한 문제, 답 대신 설명을 남기는 7일 활동</x:v>
      </x:c>
      <x:c r="F55" s="18" t="str">
        <x:v>실제 학습 예시 1개 + 부모가 할 질문 + 메타센스 방식 + CTA 1개</x:v>
      </x:c>
      <x:c r="G55" s="18" t="str">
        <x:v>관련 자료 확인 또는 다음 편 이웃추가</x:v>
      </x:c>
      <x:c r="H55" s="18" t="str">
        <x:v>7개 짧은 활동·익명 참여기록·종료 회고</x:v>
      </x:c>
      <x:c r="I55" s="18" t="str">
        <x:v>교재·직접 시연·공개 동의된 기록</x:v>
      </x:c>
      <x:c r="J55" s="22" t="str">
        <x:v>초안 전</x:v>
      </x:c>
      <x:c r="K55" s="18"/>
    </x:row>
    <x:row r="56" ht="84" customHeight="1">
      <x:c r="A56" s="18" t="str">
        <x:v>W08-B2</x:v>
      </x:c>
      <x:c r="B56" s="18" t="n">
        <x:v>8</x:v>
      </x:c>
      <x:c r="C56" s="20" t="n">
        <x:v>46324</x:v>
      </x:c>
      <x:c r="D56" s="18" t="str">
        <x:v>네이버 블로그</x:v>
      </x:c>
      <x:c r="E56" s="18" t="str">
        <x:v>집에서 실천하는 7일 설명하기: 참여 방법과 질문 모음</x:v>
      </x:c>
      <x:c r="F56" s="18" t="str">
        <x:v>실제 학습 예시 1개 + 부모가 할 질문 + 메타센스 방식 + CTA 1개</x:v>
      </x:c>
      <x:c r="G56" s="18" t="str">
        <x:v>관련 자료 확인 또는 다음 편 이웃추가</x:v>
      </x:c>
      <x:c r="H56" s="18" t="str">
        <x:v>7개 짧은 활동·익명 참여기록·종료 회고</x:v>
      </x:c>
      <x:c r="I56" s="18" t="str">
        <x:v>교재·직접 시연·공개 동의된 기록</x:v>
      </x:c>
      <x:c r="J56" s="22" t="str">
        <x:v>초안 전</x:v>
      </x:c>
      <x:c r="K56" s="18"/>
    </x:row>
    <x:row r="57" ht="84" customHeight="1">
      <x:c r="A57" s="18" t="str">
        <x:v>W08-R1</x:v>
      </x:c>
      <x:c r="B57" s="18" t="n">
        <x:v>8</x:v>
      </x:c>
      <x:c r="C57" s="20" t="n">
        <x:v>46323</x:v>
      </x:c>
      <x:c r="D57" s="18" t="str">
        <x:v>인스타 릴스 → 클립·쇼츠 재배포</x:v>
      </x:c>
      <x:c r="E57" s="18" t="str">
        <x:v>설명하기 1일차: 그림으로 보여주세요</x:v>
      </x:c>
      <x:c r="F57" s="18" t="str">
        <x:v>첫 질문 3초 → 실제 시연 → 관찰 포인트 → 다음 편 안내. 25~50초는 시험 형식.</x:v>
      </x:c>
      <x:c r="G57" s="18" t="str">
        <x:v>시리즈 팔로우 / 관련 글 / 요청 자료 중 하나</x:v>
      </x:c>
      <x:c r="H57" s="18" t="str">
        <x:v>7개 짧은 활동·익명 참여기록·종료 회고</x:v>
      </x:c>
      <x:c r="I57" s="18" t="str">
        <x:v>직접 촬영. 개인정보 제거. 타 플랫폼 재사용 가능한 음원만</x:v>
      </x:c>
      <x:c r="J57" s="22" t="str">
        <x:v>초안 전</x:v>
      </x:c>
      <x:c r="K57" s="18"/>
    </x:row>
    <x:row r="58" ht="84" customHeight="1">
      <x:c r="A58" s="18" t="str">
        <x:v>W08-R2</x:v>
      </x:c>
      <x:c r="B58" s="18" t="n">
        <x:v>8</x:v>
      </x:c>
      <x:c r="C58" s="20" t="n">
        <x:v>46325</x:v>
      </x:c>
      <x:c r="D58" s="18" t="str">
        <x:v>인스타 릴스 → 클립·쇼츠 재배포</x:v>
      </x:c>
      <x:c r="E58" s="18" t="str">
        <x:v>설명하기 중간: 막혀도 괜찮은 질문</x:v>
      </x:c>
      <x:c r="F58" s="18" t="str">
        <x:v>첫 질문 3초 → 실제 시연 → 관찰 포인트 → 다음 편 안내. 25~50초는 시험 형식.</x:v>
      </x:c>
      <x:c r="G58" s="18" t="str">
        <x:v>시리즈 팔로우 / 관련 글 / 요청 자료 중 하나</x:v>
      </x:c>
      <x:c r="H58" s="18" t="str">
        <x:v>7개 짧은 활동·익명 참여기록·종료 회고</x:v>
      </x:c>
      <x:c r="I58" s="18" t="str">
        <x:v>직접 촬영. 개인정보 제거. 타 플랫폼 재사용 가능한 음원만</x:v>
      </x:c>
      <x:c r="J58" s="22" t="str">
        <x:v>초안 전</x:v>
      </x:c>
      <x:c r="K58" s="18"/>
    </x:row>
    <x:row r="59" ht="84" customHeight="1">
      <x:c r="A59" s="18" t="str">
        <x:v>W08-R3</x:v>
      </x:c>
      <x:c r="B59" s="18" t="n">
        <x:v>8</x:v>
      </x:c>
      <x:c r="C59" s="20" t="n">
        <x:v>46326</x:v>
      </x:c>
      <x:c r="D59" s="18" t="str">
        <x:v>인스타 릴스 → 클립·쇼츠 재배포</x:v>
      </x:c>
      <x:c r="E59" s="18" t="str">
        <x:v>설명하기 마지막: 처음과 비교해 볼 것</x:v>
      </x:c>
      <x:c r="F59" s="18" t="str">
        <x:v>첫 질문 3초 → 실제 시연 → 관찰 포인트 → 다음 편 안내. 25~50초는 시험 형식.</x:v>
      </x:c>
      <x:c r="G59" s="18" t="str">
        <x:v>시리즈 팔로우 / 관련 글 / 요청 자료 중 하나</x:v>
      </x:c>
      <x:c r="H59" s="18" t="str">
        <x:v>7개 짧은 활동·익명 참여기록·종료 회고</x:v>
      </x:c>
      <x:c r="I59" s="18" t="str">
        <x:v>직접 촬영. 개인정보 제거. 타 플랫폼 재사용 가능한 음원만</x:v>
      </x:c>
      <x:c r="J59" s="22" t="str">
        <x:v>초안 전</x:v>
      </x:c>
      <x:c r="K59" s="18"/>
    </x:row>
    <x:row r="60" ht="84" customHeight="1">
      <x:c r="A60" s="18" t="str">
        <x:v>W08-C1</x:v>
      </x:c>
      <x:c r="B60" s="18" t="n">
        <x:v>8</x:v>
      </x:c>
      <x:c r="C60" s="20" t="n">
        <x:v>46328</x:v>
      </x:c>
      <x:c r="D60" s="18" t="str">
        <x:v>인스타 카드형 게시물</x:v>
      </x:c>
      <x:c r="E60" s="18" t="str">
        <x:v>7일 설명하기 활동표</x:v>
      </x:c>
      <x:c r="F60" s="18" t="str">
        <x:v>5~7장: 질문 → 예시 → 정리 → 다음편</x:v>
      </x:c>
      <x:c r="G60" s="18" t="str">
        <x:v>저장·다음편 안내 중 하나</x:v>
      </x:c>
      <x:c r="H60" s="18" t="str">
        <x:v>7개 짧은 활동·익명 참여기록·종료 회고</x:v>
      </x:c>
      <x:c r="I60" s="18" t="str">
        <x:v>자체 제작 자료</x:v>
      </x:c>
      <x:c r="J60" s="22" t="str">
        <x:v>초안 전</x:v>
      </x:c>
      <x:c r="K60" s="18"/>
    </x:row>
    <x:row r="61" ht="84" customHeight="1">
      <x:c r="A61" s="18" t="str">
        <x:v>W08-K1</x:v>
      </x:c>
      <x:c r="B61" s="18" t="n">
        <x:v>8</x:v>
      </x:c>
      <x:c r="C61" s="20" t="n">
        <x:v>46324</x:v>
      </x:c>
      <x:c r="D61" s="18" t="str">
        <x:v>카카오 채널 소식</x:v>
      </x:c>
      <x:c r="E61" s="18" t="str">
        <x:v>7일 설명하기 참여 캠페인</x:v>
      </x:c>
      <x:c r="F61" s="18" t="str">
        <x:v>좋은 콘텐츠 1개를 3~5문장으로 요약</x:v>
      </x:c>
      <x:c r="G61" s="18" t="str">
        <x:v>관련 글 또는 자료 메뉴 1개</x:v>
      </x:c>
      <x:c r="H61" s="18" t="str">
        <x:v>7개 짧은 활동·익명 참여기록·종료 회고</x:v>
      </x:c>
      <x:c r="I61" s="18" t="str">
        <x:v>채널 소식 게시 ≠ 전체 메시지 발송</x:v>
      </x:c>
      <x:c r="J61" s="22" t="str">
        <x:v>초안 전</x:v>
      </x:c>
      <x:c r="K61" s="18"/>
    </x:row>
    <x:row r="62" ht="84" customHeight="1">
      <x:c r="A62" s="18" t="str">
        <x:v>W09-B1</x:v>
      </x:c>
      <x:c r="B62" s="18" t="n">
        <x:v>9</x:v>
      </x:c>
      <x:c r="C62" s="20" t="n">
        <x:v>46329</x:v>
      </x:c>
      <x:c r="D62" s="18" t="str">
        <x:v>네이버 블로그</x:v>
      </x:c>
      <x:c r="E62" s="18" t="str">
        <x:v>7일 설명하기에서 나온 질문과 운영자의 관찰</x:v>
      </x:c>
      <x:c r="F62" s="18" t="str">
        <x:v>실제 학습 예시 1개 + 부모가 할 질문 + 메타센스 방식 + CTA 1개</x:v>
      </x:c>
      <x:c r="G62" s="18" t="str">
        <x:v>관련 자료 확인 또는 다음 편 이웃추가</x:v>
      </x:c>
      <x:c r="H62" s="18" t="str">
        <x:v>자발 공개 동의 받은 기록 3건; 부족하면 교사 예시로 명시</x:v>
      </x:c>
      <x:c r="I62" s="18" t="str">
        <x:v>교재·직접 시연·공개 동의된 기록</x:v>
      </x:c>
      <x:c r="J62" s="22" t="str">
        <x:v>초안 전</x:v>
      </x:c>
      <x:c r="K62" s="18"/>
    </x:row>
    <x:row r="63" ht="84" customHeight="1">
      <x:c r="A63" s="18" t="str">
        <x:v>W09-B2</x:v>
      </x:c>
      <x:c r="B63" s="18" t="n">
        <x:v>9</x:v>
      </x:c>
      <x:c r="C63" s="20" t="n">
        <x:v>46331</x:v>
      </x:c>
      <x:c r="D63" s="18" t="str">
        <x:v>네이버 블로그</x:v>
      </x:c>
      <x:c r="E63" s="18" t="str">
        <x:v>시작했지만 이어가지 못한 이유: 다음에는 이렇게 바꿉니다</x:v>
      </x:c>
      <x:c r="F63" s="18" t="str">
        <x:v>실제 학습 예시 1개 + 부모가 할 질문 + 메타센스 방식 + CTA 1개</x:v>
      </x:c>
      <x:c r="G63" s="18" t="str">
        <x:v>관련 자료 확인 또는 다음 편 이웃추가</x:v>
      </x:c>
      <x:c r="H63" s="18" t="str">
        <x:v>자발 공개 동의 받은 기록 3건; 부족하면 교사 예시로 명시</x:v>
      </x:c>
      <x:c r="I63" s="18" t="str">
        <x:v>교재·직접 시연·공개 동의된 기록</x:v>
      </x:c>
      <x:c r="J63" s="22" t="str">
        <x:v>초안 전</x:v>
      </x:c>
      <x:c r="K63" s="18"/>
    </x:row>
    <x:row r="64" ht="84" customHeight="1">
      <x:c r="A64" s="18" t="str">
        <x:v>W09-R1</x:v>
      </x:c>
      <x:c r="B64" s="18" t="n">
        <x:v>9</x:v>
      </x:c>
      <x:c r="C64" s="20" t="n">
        <x:v>46330</x:v>
      </x:c>
      <x:c r="D64" s="18" t="str">
        <x:v>인스타 릴스 → 클립·쇼츠 재배포</x:v>
      </x:c>
      <x:c r="E64" s="18" t="str">
        <x:v>가장 많이 나온 질문 1개</x:v>
      </x:c>
      <x:c r="F64" s="18" t="str">
        <x:v>첫 질문 3초 → 실제 시연 → 관찰 포인트 → 다음 편 안내. 25~50초는 시험 형식.</x:v>
      </x:c>
      <x:c r="G64" s="18" t="str">
        <x:v>시리즈 팔로우 / 관련 글 / 요청 자료 중 하나</x:v>
      </x:c>
      <x:c r="H64" s="18" t="str">
        <x:v>자발 공개 동의 받은 기록 3건; 부족하면 교사 예시로 명시</x:v>
      </x:c>
      <x:c r="I64" s="18" t="str">
        <x:v>직접 촬영. 개인정보 제거. 타 플랫폼 재사용 가능한 음원만</x:v>
      </x:c>
      <x:c r="J64" s="22" t="str">
        <x:v>초안 전</x:v>
      </x:c>
      <x:c r="K64" s="18"/>
    </x:row>
    <x:row r="65" ht="84" customHeight="1">
      <x:c r="A65" s="18" t="str">
        <x:v>W09-R2</x:v>
      </x:c>
      <x:c r="B65" s="18" t="n">
        <x:v>9</x:v>
      </x:c>
      <x:c r="C65" s="20" t="n">
        <x:v>46332</x:v>
      </x:c>
      <x:c r="D65" s="18" t="str">
        <x:v>인스타 릴스 → 클립·쇼츠 재배포</x:v>
      </x:c>
      <x:c r="E65" s="18" t="str">
        <x:v>실제 참여 기록에서 확인한 작은 변화</x:v>
      </x:c>
      <x:c r="F65" s="18" t="str">
        <x:v>첫 질문 3초 → 실제 시연 → 관찰 포인트 → 다음 편 안내. 25~50초는 시험 형식.</x:v>
      </x:c>
      <x:c r="G65" s="18" t="str">
        <x:v>시리즈 팔로우 / 관련 글 / 요청 자료 중 하나</x:v>
      </x:c>
      <x:c r="H65" s="18" t="str">
        <x:v>자발 공개 동의 받은 기록 3건; 부족하면 교사 예시로 명시</x:v>
      </x:c>
      <x:c r="I65" s="18" t="str">
        <x:v>직접 촬영. 개인정보 제거. 타 플랫폼 재사용 가능한 음원만</x:v>
      </x:c>
      <x:c r="J65" s="22" t="str">
        <x:v>초안 전</x:v>
      </x:c>
      <x:c r="K65" s="18"/>
    </x:row>
    <x:row r="66" ht="84" customHeight="1">
      <x:c r="A66" s="18" t="str">
        <x:v>W09-R3</x:v>
      </x:c>
      <x:c r="B66" s="18" t="n">
        <x:v>9</x:v>
      </x:c>
      <x:c r="C66" s="20" t="n">
        <x:v>46333</x:v>
      </x:c>
      <x:c r="D66" s="18" t="str">
        <x:v>인스타 릴스 → 클립·쇼츠 재배포</x:v>
      </x:c>
      <x:c r="E66" s="18" t="str">
        <x:v>활동을 못 마쳐도 남길 수 있는 것</x:v>
      </x:c>
      <x:c r="F66" s="18" t="str">
        <x:v>첫 질문 3초 → 실제 시연 → 관찰 포인트 → 다음 편 안내. 25~50초는 시험 형식.</x:v>
      </x:c>
      <x:c r="G66" s="18" t="str">
        <x:v>시리즈 팔로우 / 관련 글 / 요청 자료 중 하나</x:v>
      </x:c>
      <x:c r="H66" s="18" t="str">
        <x:v>자발 공개 동의 받은 기록 3건; 부족하면 교사 예시로 명시</x:v>
      </x:c>
      <x:c r="I66" s="18" t="str">
        <x:v>직접 촬영. 개인정보 제거. 타 플랫폼 재사용 가능한 음원만</x:v>
      </x:c>
      <x:c r="J66" s="22" t="str">
        <x:v>초안 전</x:v>
      </x:c>
      <x:c r="K66" s="18"/>
    </x:row>
    <x:row r="67" ht="84" customHeight="1">
      <x:c r="A67" s="18" t="str">
        <x:v>W09-C1</x:v>
      </x:c>
      <x:c r="B67" s="18" t="n">
        <x:v>9</x:v>
      </x:c>
      <x:c r="C67" s="20" t="n">
        <x:v>46335</x:v>
      </x:c>
      <x:c r="D67" s="18" t="str">
        <x:v>인스타 카드형 게시물</x:v>
      </x:c>
      <x:c r="E67" s="18" t="str">
        <x:v>7일 활동 결과와 다음 개선점</x:v>
      </x:c>
      <x:c r="F67" s="18" t="str">
        <x:v>5~7장: 질문 → 예시 → 정리 → 다음편</x:v>
      </x:c>
      <x:c r="G67" s="18" t="str">
        <x:v>저장·다음편 안내 중 하나</x:v>
      </x:c>
      <x:c r="H67" s="18" t="str">
        <x:v>자발 공개 동의 받은 기록 3건; 부족하면 교사 예시로 명시</x:v>
      </x:c>
      <x:c r="I67" s="18" t="str">
        <x:v>자체 제작 자료</x:v>
      </x:c>
      <x:c r="J67" s="22" t="str">
        <x:v>초안 전</x:v>
      </x:c>
      <x:c r="K67" s="18"/>
    </x:row>
    <x:row r="68" ht="84" customHeight="1">
      <x:c r="A68" s="18" t="str">
        <x:v>W09-K1</x:v>
      </x:c>
      <x:c r="B68" s="18" t="n">
        <x:v>9</x:v>
      </x:c>
      <x:c r="C68" s="20" t="n">
        <x:v>46331</x:v>
      </x:c>
      <x:c r="D68" s="18" t="str">
        <x:v>카카오 채널 소식</x:v>
      </x:c>
      <x:c r="E68" s="18" t="str">
        <x:v>결과와 미완료 이유로 신뢰 만들기</x:v>
      </x:c>
      <x:c r="F68" s="18" t="str">
        <x:v>좋은 콘텐츠 1개를 3~5문장으로 요약</x:v>
      </x:c>
      <x:c r="G68" s="18" t="str">
        <x:v>관련 글 또는 자료 메뉴 1개</x:v>
      </x:c>
      <x:c r="H68" s="18" t="str">
        <x:v>자발 공개 동의 받은 기록 3건; 부족하면 교사 예시로 명시</x:v>
      </x:c>
      <x:c r="I68" s="18" t="str">
        <x:v>채널 소식 게시 ≠ 전체 메시지 발송</x:v>
      </x:c>
      <x:c r="J68" s="22" t="str">
        <x:v>초안 전</x:v>
      </x:c>
      <x:c r="K68" s="18"/>
    </x:row>
    <x:row r="69" ht="84" customHeight="1">
      <x:c r="A69" s="18" t="str">
        <x:v>W10-B1</x:v>
      </x:c>
      <x:c r="B69" s="18" t="n">
        <x:v>10</x:v>
      </x:c>
      <x:c r="C69" s="20" t="n">
        <x:v>46336</x:v>
      </x:c>
      <x:c r="D69" s="18" t="str">
        <x:v>네이버 블로그</x:v>
      </x:c>
      <x:c r="E69" s="18" t="str">
        <x:v>공부 계획표를 지키지 못할 때 계획을 줄이는 방법</x:v>
      </x:c>
      <x:c r="F69" s="18" t="str">
        <x:v>실제 학습 예시 1개 + 부모가 할 질문 + 메타센스 방식 + CTA 1개</x:v>
      </x:c>
      <x:c r="G69" s="18" t="str">
        <x:v>관련 자료 확인 또는 다음 편 이웃추가</x:v>
      </x:c>
      <x:c r="H69" s="18" t="str">
        <x:v>한 주 계획·회고표와 보호자 질문표</x:v>
      </x:c>
      <x:c r="I69" s="18" t="str">
        <x:v>교재·직접 시연·공개 동의된 기록</x:v>
      </x:c>
      <x:c r="J69" s="22" t="str">
        <x:v>초안 전</x:v>
      </x:c>
      <x:c r="K69" s="18"/>
    </x:row>
    <x:row r="70" ht="84" customHeight="1">
      <x:c r="A70" s="18" t="str">
        <x:v>W10-B2</x:v>
      </x:c>
      <x:c r="B70" s="18" t="n">
        <x:v>10</x:v>
      </x:c>
      <x:c r="C70" s="20" t="n">
        <x:v>46338</x:v>
      </x:c>
      <x:c r="D70" s="18" t="str">
        <x:v>네이버 블로그</x:v>
      </x:c>
      <x:c r="E70" s="18" t="str">
        <x:v>스스로 공부하는 아이를 돕는 부모의 질문</x:v>
      </x:c>
      <x:c r="F70" s="18" t="str">
        <x:v>실제 학습 예시 1개 + 부모가 할 질문 + 메타센스 방식 + CTA 1개</x:v>
      </x:c>
      <x:c r="G70" s="18" t="str">
        <x:v>관련 자료 확인 또는 다음 편 이웃추가</x:v>
      </x:c>
      <x:c r="H70" s="18" t="str">
        <x:v>한 주 계획·회고표와 보호자 질문표</x:v>
      </x:c>
      <x:c r="I70" s="18" t="str">
        <x:v>교재·직접 시연·공개 동의된 기록</x:v>
      </x:c>
      <x:c r="J70" s="22" t="str">
        <x:v>초안 전</x:v>
      </x:c>
      <x:c r="K70" s="18"/>
    </x:row>
    <x:row r="71" ht="84" customHeight="1">
      <x:c r="A71" s="18" t="str">
        <x:v>W10-R1</x:v>
      </x:c>
      <x:c r="B71" s="18" t="n">
        <x:v>10</x:v>
      </x:c>
      <x:c r="C71" s="20" t="n">
        <x:v>46337</x:v>
      </x:c>
      <x:c r="D71" s="18" t="str">
        <x:v>인스타 릴스 → 클립·쇼츠 재배포</x:v>
      </x:c>
      <x:c r="E71" s="18" t="str">
        <x:v>오늘 할 일을 하나만 고른다면?</x:v>
      </x:c>
      <x:c r="F71" s="18" t="str">
        <x:v>첫 질문 3초 → 실제 시연 → 관찰 포인트 → 다음 편 안내. 25~50초는 시험 형식.</x:v>
      </x:c>
      <x:c r="G71" s="18" t="str">
        <x:v>시리즈 팔로우 / 관련 글 / 요청 자료 중 하나</x:v>
      </x:c>
      <x:c r="H71" s="18" t="str">
        <x:v>한 주 계획·회고표와 보호자 질문표</x:v>
      </x:c>
      <x:c r="I71" s="18" t="str">
        <x:v>직접 촬영. 개인정보 제거. 타 플랫폼 재사용 가능한 음원만</x:v>
      </x:c>
      <x:c r="J71" s="22" t="str">
        <x:v>초안 전</x:v>
      </x:c>
      <x:c r="K71" s="18"/>
    </x:row>
    <x:row r="72" ht="84" customHeight="1">
      <x:c r="A72" s="18" t="str">
        <x:v>W10-R2</x:v>
      </x:c>
      <x:c r="B72" s="18" t="n">
        <x:v>10</x:v>
      </x:c>
      <x:c r="C72" s="20" t="n">
        <x:v>46339</x:v>
      </x:c>
      <x:c r="D72" s="18" t="str">
        <x:v>인스타 릴스 → 클립·쇼츠 재배포</x:v>
      </x:c>
      <x:c r="E72" s="18" t="str">
        <x:v>부모가 먼저 답을 말하지 않으려면</x:v>
      </x:c>
      <x:c r="F72" s="18" t="str">
        <x:v>첫 질문 3초 → 실제 시연 → 관찰 포인트 → 다음 편 안내. 25~50초는 시험 형식.</x:v>
      </x:c>
      <x:c r="G72" s="18" t="str">
        <x:v>시리즈 팔로우 / 관련 글 / 요청 자료 중 하나</x:v>
      </x:c>
      <x:c r="H72" s="18" t="str">
        <x:v>한 주 계획·회고표와 보호자 질문표</x:v>
      </x:c>
      <x:c r="I72" s="18" t="str">
        <x:v>직접 촬영. 개인정보 제거. 타 플랫폼 재사용 가능한 음원만</x:v>
      </x:c>
      <x:c r="J72" s="22" t="str">
        <x:v>초안 전</x:v>
      </x:c>
      <x:c r="K72" s="18"/>
    </x:row>
    <x:row r="73" ht="84" customHeight="1">
      <x:c r="A73" s="18" t="str">
        <x:v>W10-R3</x:v>
      </x:c>
      <x:c r="B73" s="18" t="n">
        <x:v>10</x:v>
      </x:c>
      <x:c r="C73" s="20" t="n">
        <x:v>46340</x:v>
      </x:c>
      <x:c r="D73" s="18" t="str">
        <x:v>인스타 릴스 → 클립·쇼츠 재배포</x:v>
      </x:c>
      <x:c r="E73" s="18" t="str">
        <x:v>기록에서 다음 할 일을 찾는 장면</x:v>
      </x:c>
      <x:c r="F73" s="18" t="str">
        <x:v>첫 질문 3초 → 실제 시연 → 관찰 포인트 → 다음 편 안내. 25~50초는 시험 형식.</x:v>
      </x:c>
      <x:c r="G73" s="18" t="str">
        <x:v>시리즈 팔로우 / 관련 글 / 요청 자료 중 하나</x:v>
      </x:c>
      <x:c r="H73" s="18" t="str">
        <x:v>한 주 계획·회고표와 보호자 질문표</x:v>
      </x:c>
      <x:c r="I73" s="18" t="str">
        <x:v>직접 촬영. 개인정보 제거. 타 플랫폼 재사용 가능한 음원만</x:v>
      </x:c>
      <x:c r="J73" s="22" t="str">
        <x:v>초안 전</x:v>
      </x:c>
      <x:c r="K73" s="18"/>
    </x:row>
    <x:row r="74" ht="84" customHeight="1">
      <x:c r="A74" s="18" t="str">
        <x:v>W10-C1</x:v>
      </x:c>
      <x:c r="B74" s="18" t="n">
        <x:v>10</x:v>
      </x:c>
      <x:c r="C74" s="20" t="n">
        <x:v>46342</x:v>
      </x:c>
      <x:c r="D74" s="18" t="str">
        <x:v>인스타 카드형 게시물</x:v>
      </x:c>
      <x:c r="E74" s="18" t="str">
        <x:v>부모용 주간 학습 점검표</x:v>
      </x:c>
      <x:c r="F74" s="18" t="str">
        <x:v>5~7장: 질문 → 예시 → 정리 → 다음편</x:v>
      </x:c>
      <x:c r="G74" s="18" t="str">
        <x:v>저장·다음편 안내 중 하나</x:v>
      </x:c>
      <x:c r="H74" s="18" t="str">
        <x:v>한 주 계획·회고표와 보호자 질문표</x:v>
      </x:c>
      <x:c r="I74" s="18" t="str">
        <x:v>자체 제작 자료</x:v>
      </x:c>
      <x:c r="J74" s="22" t="str">
        <x:v>초안 전</x:v>
      </x:c>
      <x:c r="K74" s="18"/>
    </x:row>
    <x:row r="75" ht="84" customHeight="1">
      <x:c r="A75" s="18" t="str">
        <x:v>W10-K1</x:v>
      </x:c>
      <x:c r="B75" s="18" t="n">
        <x:v>10</x:v>
      </x:c>
      <x:c r="C75" s="20" t="n">
        <x:v>46338</x:v>
      </x:c>
      <x:c r="D75" s="18" t="str">
        <x:v>카카오 채널 소식</x:v>
      </x:c>
      <x:c r="E75" s="18" t="str">
        <x:v>자기주도학습을 생활 구조로 설명</x:v>
      </x:c>
      <x:c r="F75" s="18" t="str">
        <x:v>좋은 콘텐츠 1개를 3~5문장으로 요약</x:v>
      </x:c>
      <x:c r="G75" s="18" t="str">
        <x:v>관련 글 또는 자료 메뉴 1개</x:v>
      </x:c>
      <x:c r="H75" s="18" t="str">
        <x:v>한 주 계획·회고표와 보호자 질문표</x:v>
      </x:c>
      <x:c r="I75" s="18" t="str">
        <x:v>채널 소식 게시 ≠ 전체 메시지 발송</x:v>
      </x:c>
      <x:c r="J75" s="22" t="str">
        <x:v>초안 전</x:v>
      </x:c>
      <x:c r="K75" s="18"/>
    </x:row>
    <x:row r="76" ht="84" customHeight="1">
      <x:c r="A76" s="18" t="str">
        <x:v>W11-B1</x:v>
      </x:c>
      <x:c r="B76" s="18" t="n">
        <x:v>11</x:v>
      </x:c>
      <x:c r="C76" s="20" t="n">
        <x:v>46343</x:v>
      </x:c>
      <x:c r="D76" s="18" t="str">
        <x:v>네이버 블로그</x:v>
      </x:c>
      <x:c r="E76" s="18" t="str">
        <x:v>겨울방학 초등수학, 진도를 정하기 전에 확인할 것</x:v>
      </x:c>
      <x:c r="F76" s="18" t="str">
        <x:v>실제 학습 예시 1개 + 부모가 할 질문 + 메타센스 방식 + CTA 1개</x:v>
      </x:c>
      <x:c r="G76" s="18" t="str">
        <x:v>관련 자료 확인 또는 다음 편 이웃추가</x:v>
      </x:c>
      <x:c r="H76" s="18" t="str">
        <x:v>과목별 겨울 계획표 초안·확정된 일정만 안내</x:v>
      </x:c>
      <x:c r="I76" s="18" t="str">
        <x:v>교재·직접 시연·공개 동의된 기록</x:v>
      </x:c>
      <x:c r="J76" s="22" t="str">
        <x:v>초안 전</x:v>
      </x:c>
      <x:c r="K76" s="18"/>
    </x:row>
    <x:row r="77" ht="84" customHeight="1">
      <x:c r="A77" s="18" t="str">
        <x:v>W11-B2</x:v>
      </x:c>
      <x:c r="B77" s="18" t="n">
        <x:v>11</x:v>
      </x:c>
      <x:c r="C77" s="20" t="n">
        <x:v>46345</x:v>
      </x:c>
      <x:c r="D77" s="18" t="str">
        <x:v>네이버 블로그</x:v>
      </x:c>
      <x:c r="E77" s="18" t="str">
        <x:v>예비 학년 수학 준비: 설명해 볼 개념 목록</x:v>
      </x:c>
      <x:c r="F77" s="18" t="str">
        <x:v>실제 학습 예시 1개 + 부모가 할 질문 + 메타센스 방식 + CTA 1개</x:v>
      </x:c>
      <x:c r="G77" s="18" t="str">
        <x:v>관련 자료 확인 또는 다음 편 이웃추가</x:v>
      </x:c>
      <x:c r="H77" s="18" t="str">
        <x:v>과목별 겨울 계획표 초안·확정된 일정만 안내</x:v>
      </x:c>
      <x:c r="I77" s="18" t="str">
        <x:v>교재·직접 시연·공개 동의된 기록</x:v>
      </x:c>
      <x:c r="J77" s="22" t="str">
        <x:v>초안 전</x:v>
      </x:c>
      <x:c r="K77" s="18"/>
    </x:row>
    <x:row r="78" ht="84" customHeight="1">
      <x:c r="A78" s="18" t="str">
        <x:v>W11-R1</x:v>
      </x:c>
      <x:c r="B78" s="18" t="n">
        <x:v>11</x:v>
      </x:c>
      <x:c r="C78" s="20" t="n">
        <x:v>46344</x:v>
      </x:c>
      <x:c r="D78" s="18" t="str">
        <x:v>인스타 릴스 → 클립·쇼츠 재배포</x:v>
      </x:c>
      <x:c r="E78" s="18" t="str">
        <x:v>겨울방학 계획을 한 페이지로 줄여봅니다</x:v>
      </x:c>
      <x:c r="F78" s="18" t="str">
        <x:v>첫 질문 3초 → 실제 시연 → 관찰 포인트 → 다음 편 안내. 25~50초는 시험 형식.</x:v>
      </x:c>
      <x:c r="G78" s="18" t="str">
        <x:v>시리즈 팔로우 / 관련 글 / 요청 자료 중 하나</x:v>
      </x:c>
      <x:c r="H78" s="18" t="str">
        <x:v>과목별 겨울 계획표 초안·확정된 일정만 안내</x:v>
      </x:c>
      <x:c r="I78" s="18" t="str">
        <x:v>직접 촬영. 개인정보 제거. 타 플랫폼 재사용 가능한 음원만</x:v>
      </x:c>
      <x:c r="J78" s="22" t="str">
        <x:v>초안 전</x:v>
      </x:c>
      <x:c r="K78" s="18"/>
    </x:row>
    <x:row r="79" ht="84" customHeight="1">
      <x:c r="A79" s="18" t="str">
        <x:v>W11-R2</x:v>
      </x:c>
      <x:c r="B79" s="18" t="n">
        <x:v>11</x:v>
      </x:c>
      <x:c r="C79" s="20" t="n">
        <x:v>46346</x:v>
      </x:c>
      <x:c r="D79" s="18" t="str">
        <x:v>인스타 릴스 → 클립·쇼츠 재배포</x:v>
      </x:c>
      <x:c r="E79" s="18" t="str">
        <x:v>예습 전에 확인할 수학 질문</x:v>
      </x:c>
      <x:c r="F79" s="18" t="str">
        <x:v>첫 질문 3초 → 실제 시연 → 관찰 포인트 → 다음 편 안내. 25~50초는 시험 형식.</x:v>
      </x:c>
      <x:c r="G79" s="18" t="str">
        <x:v>시리즈 팔로우 / 관련 글 / 요청 자료 중 하나</x:v>
      </x:c>
      <x:c r="H79" s="18" t="str">
        <x:v>과목별 겨울 계획표 초안·확정된 일정만 안내</x:v>
      </x:c>
      <x:c r="I79" s="18" t="str">
        <x:v>직접 촬영. 개인정보 제거. 타 플랫폼 재사용 가능한 음원만</x:v>
      </x:c>
      <x:c r="J79" s="22" t="str">
        <x:v>초안 전</x:v>
      </x:c>
      <x:c r="K79" s="18"/>
    </x:row>
    <x:row r="80" ht="84" customHeight="1">
      <x:c r="A80" s="18" t="str">
        <x:v>W11-R3</x:v>
      </x:c>
      <x:c r="B80" s="18" t="n">
        <x:v>11</x:v>
      </x:c>
      <x:c r="C80" s="20" t="n">
        <x:v>46347</x:v>
      </x:c>
      <x:c r="D80" s="18" t="str">
        <x:v>인스타 릴스 → 클립·쇼츠 재배포</x:v>
      </x:c>
      <x:c r="E80" s="18" t="str">
        <x:v>아이와 합의할 첫 학습 목표</x:v>
      </x:c>
      <x:c r="F80" s="18" t="str">
        <x:v>첫 질문 3초 → 실제 시연 → 관찰 포인트 → 다음 편 안내. 25~50초는 시험 형식.</x:v>
      </x:c>
      <x:c r="G80" s="18" t="str">
        <x:v>시리즈 팔로우 / 관련 글 / 요청 자료 중 하나</x:v>
      </x:c>
      <x:c r="H80" s="18" t="str">
        <x:v>과목별 겨울 계획표 초안·확정된 일정만 안내</x:v>
      </x:c>
      <x:c r="I80" s="18" t="str">
        <x:v>직접 촬영. 개인정보 제거. 타 플랫폼 재사용 가능한 음원만</x:v>
      </x:c>
      <x:c r="J80" s="22" t="str">
        <x:v>초안 전</x:v>
      </x:c>
      <x:c r="K80" s="18"/>
    </x:row>
    <x:row r="81" ht="84" customHeight="1">
      <x:c r="A81" s="18" t="str">
        <x:v>W11-C1</x:v>
      </x:c>
      <x:c r="B81" s="18" t="n">
        <x:v>11</x:v>
      </x:c>
      <x:c r="C81" s="20" t="n">
        <x:v>46349</x:v>
      </x:c>
      <x:c r="D81" s="18" t="str">
        <x:v>인스타 카드형 게시물</x:v>
      </x:c>
      <x:c r="E81" s="18" t="str">
        <x:v>겨울방학 학습 선택 체크리스트</x:v>
      </x:c>
      <x:c r="F81" s="18" t="str">
        <x:v>5~7장: 질문 → 예시 → 정리 → 다음편</x:v>
      </x:c>
      <x:c r="G81" s="18" t="str">
        <x:v>저장·다음편 안내 중 하나</x:v>
      </x:c>
      <x:c r="H81" s="18" t="str">
        <x:v>과목별 겨울 계획표 초안·확정된 일정만 안내</x:v>
      </x:c>
      <x:c r="I81" s="18" t="str">
        <x:v>자체 제작 자료</x:v>
      </x:c>
      <x:c r="J81" s="22" t="str">
        <x:v>초안 전</x:v>
      </x:c>
      <x:c r="K81" s="18"/>
    </x:row>
    <x:row r="82" ht="84" customHeight="1">
      <x:c r="A82" s="18" t="str">
        <x:v>W11-K1</x:v>
      </x:c>
      <x:c r="B82" s="18" t="n">
        <x:v>11</x:v>
      </x:c>
      <x:c r="C82" s="20" t="n">
        <x:v>46345</x:v>
      </x:c>
      <x:c r="D82" s="18" t="str">
        <x:v>카카오 채널 소식</x:v>
      </x:c>
      <x:c r="E82" s="18" t="str">
        <x:v>겨울방학 준비: 진도보다 빈틈 확인</x:v>
      </x:c>
      <x:c r="F82" s="18" t="str">
        <x:v>좋은 콘텐츠 1개를 3~5문장으로 요약</x:v>
      </x:c>
      <x:c r="G82" s="18" t="str">
        <x:v>관련 글 또는 자료 메뉴 1개</x:v>
      </x:c>
      <x:c r="H82" s="18" t="str">
        <x:v>과목별 겨울 계획표 초안·확정된 일정만 안내</x:v>
      </x:c>
      <x:c r="I82" s="18" t="str">
        <x:v>채널 소식 게시 ≠ 전체 메시지 발송</x:v>
      </x:c>
      <x:c r="J82" s="22" t="str">
        <x:v>초안 전</x:v>
      </x:c>
      <x:c r="K82" s="18"/>
    </x:row>
    <x:row r="83" ht="84" customHeight="1">
      <x:c r="A83" s="18" t="str">
        <x:v>W12-B1</x:v>
      </x:c>
      <x:c r="B83" s="18" t="n">
        <x:v>12</x:v>
      </x:c>
      <x:c r="C83" s="20" t="n">
        <x:v>46350</x:v>
      </x:c>
      <x:c r="D83" s="18" t="str">
        <x:v>네이버 블로그</x:v>
      </x:c>
      <x:c r="E83" s="18" t="str">
        <x:v>겨울방학 파이썬: 첫 결과물까지 무엇을 배우나요?</x:v>
      </x:c>
      <x:c r="F83" s="18" t="str">
        <x:v>실제 학습 예시 1개 + 부모가 할 질문 + 메타센스 방식 + CTA 1개</x:v>
      </x:c>
      <x:c r="G83" s="18" t="str">
        <x:v>관련 자료 확인 또는 다음 편 이웃추가</x:v>
      </x:c>
      <x:c r="H83" s="18" t="str">
        <x:v>두 과목 샘플 모음·공동 게시물 패키지</x:v>
      </x:c>
      <x:c r="I83" s="18" t="str">
        <x:v>교재·직접 시연·공개 동의된 기록</x:v>
      </x:c>
      <x:c r="J83" s="22" t="str">
        <x:v>초안 전</x:v>
      </x:c>
      <x:c r="K83" s="18"/>
    </x:row>
    <x:row r="84" ht="84" customHeight="1">
      <x:c r="A84" s="18" t="str">
        <x:v>W12-B2</x:v>
      </x:c>
      <x:c r="B84" s="18" t="n">
        <x:v>12</x:v>
      </x:c>
      <x:c r="C84" s="20" t="n">
        <x:v>46352</x:v>
      </x:c>
      <x:c r="D84" s="18" t="str">
        <x:v>네이버 블로그</x:v>
      </x:c>
      <x:c r="E84" s="18" t="str">
        <x:v>수업료보다 먼저 확인할 온라인 학습의 지원 방식</x:v>
      </x:c>
      <x:c r="F84" s="18" t="str">
        <x:v>실제 학습 예시 1개 + 부모가 할 질문 + 메타센스 방식 + CTA 1개</x:v>
      </x:c>
      <x:c r="G84" s="18" t="str">
        <x:v>관련 자료 확인 또는 다음 편 이웃추가</x:v>
      </x:c>
      <x:c r="H84" s="18" t="str">
        <x:v>두 과목 샘플 모음·공동 게시물 패키지</x:v>
      </x:c>
      <x:c r="I84" s="18" t="str">
        <x:v>교재·직접 시연·공개 동의된 기록</x:v>
      </x:c>
      <x:c r="J84" s="22" t="str">
        <x:v>초안 전</x:v>
      </x:c>
      <x:c r="K84" s="18"/>
    </x:row>
    <x:row r="85" ht="84" customHeight="1">
      <x:c r="A85" s="18" t="str">
        <x:v>W12-R1</x:v>
      </x:c>
      <x:c r="B85" s="18" t="n">
        <x:v>12</x:v>
      </x:c>
      <x:c r="C85" s="20" t="n">
        <x:v>46351</x:v>
      </x:c>
      <x:c r="D85" s="18" t="str">
        <x:v>인스타 릴스 → 클립·쇼츠 재배포</x:v>
      </x:c>
      <x:c r="E85" s="18" t="str">
        <x:v>코드가 아니라 아이의 생각이 보이는 결과물</x:v>
      </x:c>
      <x:c r="F85" s="18" t="str">
        <x:v>첫 질문 3초 → 실제 시연 → 관찰 포인트 → 다음 편 안내. 25~50초는 시험 형식.</x:v>
      </x:c>
      <x:c r="G85" s="18" t="str">
        <x:v>시리즈 팔로우 / 관련 글 / 요청 자료 중 하나</x:v>
      </x:c>
      <x:c r="H85" s="18" t="str">
        <x:v>두 과목 샘플 모음·공동 게시물 패키지</x:v>
      </x:c>
      <x:c r="I85" s="18" t="str">
        <x:v>직접 촬영. 개인정보 제거. 타 플랫폼 재사용 가능한 음원만</x:v>
      </x:c>
      <x:c r="J85" s="22" t="str">
        <x:v>초안 전</x:v>
      </x:c>
      <x:c r="K85" s="18"/>
    </x:row>
    <x:row r="86" ht="84" customHeight="1">
      <x:c r="A86" s="18" t="str">
        <x:v>W12-R2</x:v>
      </x:c>
      <x:c r="B86" s="18" t="n">
        <x:v>12</x:v>
      </x:c>
      <x:c r="C86" s="20" t="n">
        <x:v>46353</x:v>
      </x:c>
      <x:c r="D86" s="18" t="str">
        <x:v>인스타 릴스 → 클립·쇼츠 재배포</x:v>
      </x:c>
      <x:c r="E86" s="18" t="str">
        <x:v>실제 질문에 답하는 교사 Q&amp;A</x:v>
      </x:c>
      <x:c r="F86" s="18" t="str">
        <x:v>첫 질문 3초 → 실제 시연 → 관찰 포인트 → 다음 편 안내. 25~50초는 시험 형식.</x:v>
      </x:c>
      <x:c r="G86" s="18" t="str">
        <x:v>시리즈 팔로우 / 관련 글 / 요청 자료 중 하나</x:v>
      </x:c>
      <x:c r="H86" s="18" t="str">
        <x:v>두 과목 샘플 모음·공동 게시물 패키지</x:v>
      </x:c>
      <x:c r="I86" s="18" t="str">
        <x:v>직접 촬영. 개인정보 제거. 타 플랫폼 재사용 가능한 음원만</x:v>
      </x:c>
      <x:c r="J86" s="22" t="str">
        <x:v>초안 전</x:v>
      </x:c>
      <x:c r="K86" s="18"/>
    </x:row>
    <x:row r="87" ht="84" customHeight="1">
      <x:c r="A87" s="18" t="str">
        <x:v>W12-R3</x:v>
      </x:c>
      <x:c r="B87" s="18" t="n">
        <x:v>12</x:v>
      </x:c>
      <x:c r="C87" s="20" t="n">
        <x:v>46354</x:v>
      </x:c>
      <x:c r="D87" s="18" t="str">
        <x:v>인스타 릴스 → 클립·쇼츠 재배포</x:v>
      </x:c>
      <x:c r="E87" s="18" t="str">
        <x:v>온라인 학습 체험 전 확인할 3가지</x:v>
      </x:c>
      <x:c r="F87" s="18" t="str">
        <x:v>첫 질문 3초 → 실제 시연 → 관찰 포인트 → 다음 편 안내. 25~50초는 시험 형식.</x:v>
      </x:c>
      <x:c r="G87" s="18" t="str">
        <x:v>시리즈 팔로우 / 관련 글 / 요청 자료 중 하나</x:v>
      </x:c>
      <x:c r="H87" s="18" t="str">
        <x:v>두 과목 샘플 모음·공동 게시물 패키지</x:v>
      </x:c>
      <x:c r="I87" s="18" t="str">
        <x:v>직접 촬영. 개인정보 제거. 타 플랫폼 재사용 가능한 음원만</x:v>
      </x:c>
      <x:c r="J87" s="22" t="str">
        <x:v>초안 전</x:v>
      </x:c>
      <x:c r="K87" s="18"/>
    </x:row>
    <x:row r="88" ht="84" customHeight="1">
      <x:c r="A88" s="18" t="str">
        <x:v>W12-C1</x:v>
      </x:c>
      <x:c r="B88" s="18" t="n">
        <x:v>12</x:v>
      </x:c>
      <x:c r="C88" s="20" t="n">
        <x:v>46356</x:v>
      </x:c>
      <x:c r="D88" s="18" t="str">
        <x:v>인스타 카드형 게시물</x:v>
      </x:c>
      <x:c r="E88" s="18" t="str">
        <x:v>수학·파이썬·고전읽기 선택 가이드</x:v>
      </x:c>
      <x:c r="F88" s="18" t="str">
        <x:v>5~7장: 질문 → 예시 → 정리 → 다음편</x:v>
      </x:c>
      <x:c r="G88" s="18" t="str">
        <x:v>저장·다음편 안내 중 하나</x:v>
      </x:c>
      <x:c r="H88" s="18" t="str">
        <x:v>두 과목 샘플 모음·공동 게시물 패키지</x:v>
      </x:c>
      <x:c r="I88" s="18" t="str">
        <x:v>자체 제작 자료</x:v>
      </x:c>
      <x:c r="J88" s="22" t="str">
        <x:v>초안 전</x:v>
      </x:c>
      <x:c r="K88" s="18"/>
    </x:row>
    <x:row r="89" ht="84" customHeight="1">
      <x:c r="A89" s="18" t="str">
        <x:v>W12-K1</x:v>
      </x:c>
      <x:c r="B89" s="18" t="n">
        <x:v>12</x:v>
      </x:c>
      <x:c r="C89" s="20" t="n">
        <x:v>46352</x:v>
      </x:c>
      <x:c r="D89" s="18" t="str">
        <x:v>카카오 채널 소식</x:v>
      </x:c>
      <x:c r="E89" s="18" t="str">
        <x:v>공동 콘텐츠와 체험 2차 모집</x:v>
      </x:c>
      <x:c r="F89" s="18" t="str">
        <x:v>좋은 콘텐츠 1개를 3~5문장으로 요약</x:v>
      </x:c>
      <x:c r="G89" s="18" t="str">
        <x:v>관련 글 또는 자료 메뉴 1개</x:v>
      </x:c>
      <x:c r="H89" s="18" t="str">
        <x:v>두 과목 샘플 모음·공동 게시물 패키지</x:v>
      </x:c>
      <x:c r="I89" s="18" t="str">
        <x:v>채널 소식 게시 ≠ 전체 메시지 발송</x:v>
      </x:c>
      <x:c r="J89" s="22" t="str">
        <x:v>초안 전</x:v>
      </x:c>
      <x:c r="K89" s="18"/>
    </x:row>
    <x:row r="90" ht="84" customHeight="1">
      <x:c r="A90" s="18" t="str">
        <x:v>W13-B1</x:v>
      </x:c>
      <x:c r="B90" s="18" t="n">
        <x:v>13</x:v>
      </x:c>
      <x:c r="C90" s="20" t="n">
        <x:v>46357</x:v>
      </x:c>
      <x:c r="D90" s="18" t="str">
        <x:v>네이버 블로그</x:v>
      </x:c>
      <x:c r="E90" s="18" t="str">
        <x:v>우리 아이 겨울방학 계획, 세 과정을 비교해 고르는 법</x:v>
      </x:c>
      <x:c r="F90" s="18" t="str">
        <x:v>실제 학습 예시 1개 + 부모가 할 질문 + 메타센스 방식 + CTA 1개</x:v>
      </x:c>
      <x:c r="G90" s="18" t="str">
        <x:v>관련 자료 확인 또는 다음 편 이웃추가</x:v>
      </x:c>
      <x:c r="H90" s="18" t="str">
        <x:v>12/3 공개 수업·과목별 질문지</x:v>
      </x:c>
      <x:c r="I90" s="18" t="str">
        <x:v>교재·직접 시연·공개 동의된 기록</x:v>
      </x:c>
      <x:c r="J90" s="22" t="str">
        <x:v>초안 전</x:v>
      </x:c>
      <x:c r="K90" s="18"/>
    </x:row>
    <x:row r="91" ht="84" customHeight="1">
      <x:c r="A91" s="18" t="str">
        <x:v>W13-B2</x:v>
      </x:c>
      <x:c r="B91" s="18" t="n">
        <x:v>13</x:v>
      </x:c>
      <x:c r="C91" s="20" t="n">
        <x:v>46359</x:v>
      </x:c>
      <x:c r="D91" s="18" t="str">
        <x:v>네이버 블로그</x:v>
      </x:c>
      <x:c r="E91" s="18" t="str">
        <x:v>겨울방학 공개 수업에서 학부모가 확인할 장면</x:v>
      </x:c>
      <x:c r="F91" s="18" t="str">
        <x:v>실제 학습 예시 1개 + 부모가 할 질문 + 메타센스 방식 + CTA 1개</x:v>
      </x:c>
      <x:c r="G91" s="18" t="str">
        <x:v>관련 자료 확인 또는 다음 편 이웃추가</x:v>
      </x:c>
      <x:c r="H91" s="18" t="str">
        <x:v>12/3 공개 수업·과목별 질문지</x:v>
      </x:c>
      <x:c r="I91" s="18" t="str">
        <x:v>교재·직접 시연·공개 동의된 기록</x:v>
      </x:c>
      <x:c r="J91" s="22" t="str">
        <x:v>초안 전</x:v>
      </x:c>
      <x:c r="K91" s="18"/>
    </x:row>
    <x:row r="92" ht="84" customHeight="1">
      <x:c r="A92" s="18" t="str">
        <x:v>W13-R1</x:v>
      </x:c>
      <x:c r="B92" s="18" t="n">
        <x:v>13</x:v>
      </x:c>
      <x:c r="C92" s="20" t="n">
        <x:v>46358</x:v>
      </x:c>
      <x:c r="D92" s="18" t="str">
        <x:v>인스타 릴스 → 클립·쇼츠 재배포</x:v>
      </x:c>
      <x:c r="E92" s="18" t="str">
        <x:v>수학 공개 수업 한 장면</x:v>
      </x:c>
      <x:c r="F92" s="18" t="str">
        <x:v>첫 질문 3초 → 실제 시연 → 관찰 포인트 → 다음 편 안내. 25~50초는 시험 형식.</x:v>
      </x:c>
      <x:c r="G92" s="18" t="str">
        <x:v>시리즈 팔로우 / 관련 글 / 요청 자료 중 하나</x:v>
      </x:c>
      <x:c r="H92" s="18" t="str">
        <x:v>12/3 공개 수업·과목별 질문지</x:v>
      </x:c>
      <x:c r="I92" s="18" t="str">
        <x:v>직접 촬영. 개인정보 제거. 타 플랫폼 재사용 가능한 음원만</x:v>
      </x:c>
      <x:c r="J92" s="22" t="str">
        <x:v>초안 전</x:v>
      </x:c>
      <x:c r="K92" s="18"/>
    </x:row>
    <x:row r="93" ht="84" customHeight="1">
      <x:c r="A93" s="18" t="str">
        <x:v>W13-R2</x:v>
      </x:c>
      <x:c r="B93" s="18" t="n">
        <x:v>13</x:v>
      </x:c>
      <x:c r="C93" s="20" t="n">
        <x:v>46360</x:v>
      </x:c>
      <x:c r="D93" s="18" t="str">
        <x:v>인스타 릴스 → 클립·쇼츠 재배포</x:v>
      </x:c>
      <x:c r="E93" s="18" t="str">
        <x:v>파이썬 공개 수업 한 장면</x:v>
      </x:c>
      <x:c r="F93" s="18" t="str">
        <x:v>첫 질문 3초 → 실제 시연 → 관찰 포인트 → 다음 편 안내. 25~50초는 시험 형식.</x:v>
      </x:c>
      <x:c r="G93" s="18" t="str">
        <x:v>시리즈 팔로우 / 관련 글 / 요청 자료 중 하나</x:v>
      </x:c>
      <x:c r="H93" s="18" t="str">
        <x:v>12/3 공개 수업·과목별 질문지</x:v>
      </x:c>
      <x:c r="I93" s="18" t="str">
        <x:v>직접 촬영. 개인정보 제거. 타 플랫폼 재사용 가능한 음원만</x:v>
      </x:c>
      <x:c r="J93" s="22" t="str">
        <x:v>초안 전</x:v>
      </x:c>
      <x:c r="K93" s="18"/>
    </x:row>
    <x:row r="94" ht="84" customHeight="1">
      <x:c r="A94" s="18" t="str">
        <x:v>W13-R3</x:v>
      </x:c>
      <x:c r="B94" s="18" t="n">
        <x:v>13</x:v>
      </x:c>
      <x:c r="C94" s="20" t="n">
        <x:v>46361</x:v>
      </x:c>
      <x:c r="D94" s="18" t="str">
        <x:v>인스타 릴스 → 클립·쇼츠 재배포</x:v>
      </x:c>
      <x:c r="E94" s="18" t="str">
        <x:v>겨울 계획을 부모와 아이가 함께 정하는 질문</x:v>
      </x:c>
      <x:c r="F94" s="18" t="str">
        <x:v>첫 질문 3초 → 실제 시연 → 관찰 포인트 → 다음 편 안내. 25~50초는 시험 형식.</x:v>
      </x:c>
      <x:c r="G94" s="18" t="str">
        <x:v>시리즈 팔로우 / 관련 글 / 요청 자료 중 하나</x:v>
      </x:c>
      <x:c r="H94" s="18" t="str">
        <x:v>12/3 공개 수업·과목별 질문지</x:v>
      </x:c>
      <x:c r="I94" s="18" t="str">
        <x:v>직접 촬영. 개인정보 제거. 타 플랫폼 재사용 가능한 음원만</x:v>
      </x:c>
      <x:c r="J94" s="22" t="str">
        <x:v>초안 전</x:v>
      </x:c>
      <x:c r="K94" s="18"/>
    </x:row>
    <x:row r="95" ht="84" customHeight="1">
      <x:c r="A95" s="18" t="str">
        <x:v>W13-C1</x:v>
      </x:c>
      <x:c r="B95" s="18" t="n">
        <x:v>13</x:v>
      </x:c>
      <x:c r="C95" s="20" t="n">
        <x:v>46363</x:v>
      </x:c>
      <x:c r="D95" s="18" t="str">
        <x:v>인스타 카드형 게시물</x:v>
      </x:c>
      <x:c r="E95" s="18" t="str">
        <x:v>공개 수업 안내와 준비 사항</x:v>
      </x:c>
      <x:c r="F95" s="18" t="str">
        <x:v>5~7장: 질문 → 예시 → 정리 → 다음편</x:v>
      </x:c>
      <x:c r="G95" s="18" t="str">
        <x:v>저장·다음편 안내 중 하나</x:v>
      </x:c>
      <x:c r="H95" s="18" t="str">
        <x:v>12/3 공개 수업·과목별 질문지</x:v>
      </x:c>
      <x:c r="I95" s="18" t="str">
        <x:v>자체 제작 자료</x:v>
      </x:c>
      <x:c r="J95" s="22" t="str">
        <x:v>초안 전</x:v>
      </x:c>
      <x:c r="K95" s="18"/>
    </x:row>
    <x:row r="96" ht="84" customHeight="1">
      <x:c r="A96" s="18" t="str">
        <x:v>W13-K1</x:v>
      </x:c>
      <x:c r="B96" s="18" t="n">
        <x:v>13</x:v>
      </x:c>
      <x:c r="C96" s="20" t="n">
        <x:v>46359</x:v>
      </x:c>
      <x:c r="D96" s="18" t="str">
        <x:v>카카오 채널 소식</x:v>
      </x:c>
      <x:c r="E96" s="18" t="str">
        <x:v>겨울방학 공개 수업과 마지막 접점 확대</x:v>
      </x:c>
      <x:c r="F96" s="18" t="str">
        <x:v>좋은 콘텐츠 1개를 3~5문장으로 요약</x:v>
      </x:c>
      <x:c r="G96" s="18" t="str">
        <x:v>관련 글 또는 자료 메뉴 1개</x:v>
      </x:c>
      <x:c r="H96" s="18" t="str">
        <x:v>12/3 공개 수업·과목별 질문지</x:v>
      </x:c>
      <x:c r="I96" s="18" t="str">
        <x:v>채널 소식 게시 ≠ 전체 메시지 발송</x:v>
      </x:c>
      <x:c r="J96" s="22" t="str">
        <x:v>초안 전</x:v>
      </x:c>
      <x:c r="K96" s="18"/>
    </x:row>
    <x:row r="97" ht="84" customHeight="1">
      <x:c r="A97" s="18" t="str">
        <x:v>W14-B1</x:v>
      </x:c>
      <x:c r="B97" s="18" t="n">
        <x:v>14</x:v>
      </x:c>
      <x:c r="C97" s="20" t="n">
        <x:v>46364</x:v>
      </x:c>
      <x:c r="D97" s="18" t="str">
        <x:v>네이버 블로그</x:v>
      </x:c>
      <x:c r="E97" s="18" t="str">
        <x:v>학부모가 가장 많이 물은 질문 10개</x:v>
      </x:c>
      <x:c r="F97" s="18" t="str">
        <x:v>실제 학습 예시 1개 + 부모가 할 질문 + 메타센스 방식 + CTA 1개</x:v>
      </x:c>
      <x:c r="G97" s="18" t="str">
        <x:v>관련 자료 확인 또는 다음 편 이웃추가</x:v>
      </x:c>
      <x:c r="H97" s="18" t="str">
        <x:v>자료 모음 목차·과정별 빠른 안내</x:v>
      </x:c>
      <x:c r="I97" s="18" t="str">
        <x:v>교재·직접 시연·공개 동의된 기록</x:v>
      </x:c>
      <x:c r="J97" s="22" t="str">
        <x:v>초안 전</x:v>
      </x:c>
      <x:c r="K97" s="18"/>
    </x:row>
    <x:row r="98" ht="84" customHeight="1">
      <x:c r="A98" s="18" t="str">
        <x:v>W14-B2</x:v>
      </x:c>
      <x:c r="B98" s="18" t="n">
        <x:v>14</x:v>
      </x:c>
      <x:c r="C98" s="20" t="n">
        <x:v>46366</x:v>
      </x:c>
      <x:c r="D98" s="18" t="str">
        <x:v>네이버 블로그</x:v>
      </x:c>
      <x:c r="E98" s="18" t="str">
        <x:v>메타센스 체험 가이드: 시작부터 종료까지</x:v>
      </x:c>
      <x:c r="F98" s="18" t="str">
        <x:v>실제 학습 예시 1개 + 부모가 할 질문 + 메타센스 방식 + CTA 1개</x:v>
      </x:c>
      <x:c r="G98" s="18" t="str">
        <x:v>관련 자료 확인 또는 다음 편 이웃추가</x:v>
      </x:c>
      <x:c r="H98" s="18" t="str">
        <x:v>자료 모음 목차·과정별 빠른 안내</x:v>
      </x:c>
      <x:c r="I98" s="18" t="str">
        <x:v>교재·직접 시연·공개 동의된 기록</x:v>
      </x:c>
      <x:c r="J98" s="22" t="str">
        <x:v>초안 전</x:v>
      </x:c>
      <x:c r="K98" s="18"/>
    </x:row>
    <x:row r="99" ht="84" customHeight="1">
      <x:c r="A99" s="18" t="str">
        <x:v>W14-R1</x:v>
      </x:c>
      <x:c r="B99" s="18" t="n">
        <x:v>14</x:v>
      </x:c>
      <x:c r="C99" s="20" t="n">
        <x:v>46365</x:v>
      </x:c>
      <x:c r="D99" s="18" t="str">
        <x:v>인스타 릴스 → 클립·쇼츠 재배포</x:v>
      </x:c>
      <x:c r="E99" s="18" t="str">
        <x:v>가장 많이 저장된 주제의 새 예시</x:v>
      </x:c>
      <x:c r="F99" s="18" t="str">
        <x:v>첫 질문 3초 → 실제 시연 → 관찰 포인트 → 다음 편 안내. 25~50초는 시험 형식.</x:v>
      </x:c>
      <x:c r="G99" s="18" t="str">
        <x:v>시리즈 팔로우 / 관련 글 / 요청 자료 중 하나</x:v>
      </x:c>
      <x:c r="H99" s="18" t="str">
        <x:v>자료 모음 목차·과정별 빠른 안내</x:v>
      </x:c>
      <x:c r="I99" s="18" t="str">
        <x:v>직접 촬영. 개인정보 제거. 타 플랫폼 재사용 가능한 음원만</x:v>
      </x:c>
      <x:c r="J99" s="22" t="str">
        <x:v>초안 전</x:v>
      </x:c>
      <x:c r="K99" s="18"/>
    </x:row>
    <x:row r="100" ht="84" customHeight="1">
      <x:c r="A100" s="18" t="str">
        <x:v>W14-R2</x:v>
      </x:c>
      <x:c r="B100" s="18" t="n">
        <x:v>14</x:v>
      </x:c>
      <x:c r="C100" s="20" t="n">
        <x:v>46367</x:v>
      </x:c>
      <x:c r="D100" s="18" t="str">
        <x:v>인스타 릴스 → 클립·쇼츠 재배포</x:v>
      </x:c>
      <x:c r="E100" s="18" t="str">
        <x:v>이런 아이에게는 다른 선택도 권합니다</x:v>
      </x:c>
      <x:c r="F100" s="18" t="str">
        <x:v>첫 질문 3초 → 실제 시연 → 관찰 포인트 → 다음 편 안내. 25~50초는 시험 형식.</x:v>
      </x:c>
      <x:c r="G100" s="18" t="str">
        <x:v>시리즈 팔로우 / 관련 글 / 요청 자료 중 하나</x:v>
      </x:c>
      <x:c r="H100" s="18" t="str">
        <x:v>자료 모음 목차·과정별 빠른 안내</x:v>
      </x:c>
      <x:c r="I100" s="18" t="str">
        <x:v>직접 촬영. 개인정보 제거. 타 플랫폼 재사용 가능한 음원만</x:v>
      </x:c>
      <x:c r="J100" s="22" t="str">
        <x:v>초안 전</x:v>
      </x:c>
      <x:c r="K100" s="18"/>
    </x:row>
    <x:row r="101" ht="84" customHeight="1">
      <x:c r="A101" s="18" t="str">
        <x:v>W14-R3</x:v>
      </x:c>
      <x:c r="B101" s="18" t="n">
        <x:v>14</x:v>
      </x:c>
      <x:c r="C101" s="20" t="n">
        <x:v>46368</x:v>
      </x:c>
      <x:c r="D101" s="18" t="str">
        <x:v>인스타 릴스 → 클립·쇼츠 재배포</x:v>
      </x:c>
      <x:c r="E101" s="18" t="str">
        <x:v>부모가 편하게 문의하는 방법</x:v>
      </x:c>
      <x:c r="F101" s="18" t="str">
        <x:v>첫 질문 3초 → 실제 시연 → 관찰 포인트 → 다음 편 안내. 25~50초는 시험 형식.</x:v>
      </x:c>
      <x:c r="G101" s="18" t="str">
        <x:v>시리즈 팔로우 / 관련 글 / 요청 자료 중 하나</x:v>
      </x:c>
      <x:c r="H101" s="18" t="str">
        <x:v>자료 모음 목차·과정별 빠른 안내</x:v>
      </x:c>
      <x:c r="I101" s="18" t="str">
        <x:v>직접 촬영. 개인정보 제거. 타 플랫폼 재사용 가능한 음원만</x:v>
      </x:c>
      <x:c r="J101" s="22" t="str">
        <x:v>초안 전</x:v>
      </x:c>
      <x:c r="K101" s="18"/>
    </x:row>
    <x:row r="102" ht="84" customHeight="1">
      <x:c r="A102" s="18" t="str">
        <x:v>W14-C1</x:v>
      </x:c>
      <x:c r="B102" s="18" t="n">
        <x:v>14</x:v>
      </x:c>
      <x:c r="C102" s="20" t="n">
        <x:v>46370</x:v>
      </x:c>
      <x:c r="D102" s="18" t="str">
        <x:v>인스타 카드형 게시물</x:v>
      </x:c>
      <x:c r="E102" s="18" t="str">
        <x:v>100일 동안의 인기 자료 모음</x:v>
      </x:c>
      <x:c r="F102" s="18" t="str">
        <x:v>5~7장: 질문 → 예시 → 정리 → 다음편</x:v>
      </x:c>
      <x:c r="G102" s="18" t="str">
        <x:v>저장·다음편 안내 중 하나</x:v>
      </x:c>
      <x:c r="H102" s="18" t="str">
        <x:v>자료 모음 목차·과정별 빠른 안내</x:v>
      </x:c>
      <x:c r="I102" s="18" t="str">
        <x:v>자체 제작 자료</x:v>
      </x:c>
      <x:c r="J102" s="22" t="str">
        <x:v>초안 전</x:v>
      </x:c>
      <x:c r="K102" s="18"/>
    </x:row>
    <x:row r="103" ht="84" customHeight="1">
      <x:c r="A103" s="18" t="str">
        <x:v>W14-K1</x:v>
      </x:c>
      <x:c r="B103" s="18" t="n">
        <x:v>14</x:v>
      </x:c>
      <x:c r="C103" s="20" t="n">
        <x:v>46366</x:v>
      </x:c>
      <x:c r="D103" s="18" t="str">
        <x:v>카카오 채널 소식</x:v>
      </x:c>
      <x:c r="E103" s="18" t="str">
        <x:v>반응 좋은 주제 재제작·관계 유지</x:v>
      </x:c>
      <x:c r="F103" s="18" t="str">
        <x:v>좋은 콘텐츠 1개를 3~5문장으로 요약</x:v>
      </x:c>
      <x:c r="G103" s="18" t="str">
        <x:v>관련 글 또는 자료 메뉴 1개</x:v>
      </x:c>
      <x:c r="H103" s="18" t="str">
        <x:v>자료 모음 목차·과정별 빠른 안내</x:v>
      </x:c>
      <x:c r="I103" s="18" t="str">
        <x:v>채널 소식 게시 ≠ 전체 메시지 발송</x:v>
      </x:c>
      <x:c r="J103" s="22" t="str">
        <x:v>초안 전</x:v>
      </x:c>
      <x:c r="K103" s="18"/>
    </x:row>
    <x:row r="104" ht="84" customHeight="1">
      <x:c r="A104" s="18" t="str">
        <x:v>W15-B1</x:v>
      </x:c>
      <x:c r="B104" s="18" t="n">
        <x:v>15</x:v>
      </x:c>
      <x:c r="C104" s="20" t="n">
        <x:v>46371</x:v>
      </x:c>
      <x:c r="D104" s="18" t="str">
        <x:v>네이버 블로그</x:v>
      </x:c>
      <x:c r="E104" s="18" t="str">
        <x:v>메타센스 100일 운영 기록: 무엇을 계속하고 무엇을 바꿀까요?</x:v>
      </x:c>
      <x:c r="F104" s="18" t="str">
        <x:v>실제 학습 예시 1개 + 부모가 할 질문 + 메타센스 방식 + CTA 1개</x:v>
      </x:c>
      <x:c r="G104" s="18" t="str">
        <x:v>관련 자료 확인 또는 다음 편 이웃추가</x:v>
      </x:c>
      <x:c r="H104" s="18" t="str">
        <x:v>100일 성과표·다음 30일 집중 채널 2개</x:v>
      </x:c>
      <x:c r="I104" s="18" t="str">
        <x:v>교재·직접 시연·공개 동의된 기록</x:v>
      </x:c>
      <x:c r="J104" s="22" t="str">
        <x:v>초안 전</x:v>
      </x:c>
      <x:c r="K104" s="18"/>
    </x:row>
    <x:row r="105" ht="84" customHeight="1">
      <x:c r="A105" s="18" t="str">
        <x:v>W15-R1</x:v>
      </x:c>
      <x:c r="B105" s="18" t="n">
        <x:v>15</x:v>
      </x:c>
      <x:c r="C105" s="20" t="n">
        <x:v>46372</x:v>
      </x:c>
      <x:c r="D105" s="18" t="str">
        <x:v>인스타 릴스 → 클립·쇼츠 재배포</x:v>
      </x:c>
      <x:c r="E105" s="18" t="str">
        <x:v>100일 동안 가장 많이 받은 질문과 다음 이야기</x:v>
      </x:c>
      <x:c r="F105" s="18" t="str">
        <x:v>첫 질문 3초 → 실제 시연 → 관찰 포인트 → 다음 편 안내. 25~50초는 시험 형식.</x:v>
      </x:c>
      <x:c r="G105" s="18" t="str">
        <x:v>시리즈 팔로우 / 관련 글 / 요청 자료 중 하나</x:v>
      </x:c>
      <x:c r="H105" s="18" t="str">
        <x:v>100일 성과표·다음 30일 집중 채널 2개</x:v>
      </x:c>
      <x:c r="I105" s="18" t="str">
        <x:v>직접 촬영. 개인정보 제거. 타 플랫폼 재사용 가능한 음원만</x:v>
      </x:c>
      <x:c r="J105" s="22" t="str">
        <x:v>초안 전</x:v>
      </x:c>
      <x:c r="K105" s="18"/>
    </x:row>
    <x:row r="106" ht="84" customHeight="1">
      <x:c r="A106" s="18" t="str">
        <x:v>W15-C1</x:v>
      </x:c>
      <x:c r="B106" s="18" t="n">
        <x:v>15</x:v>
      </x:c>
      <x:c r="C106" s="20" t="n">
        <x:v>46372</x:v>
      </x:c>
      <x:c r="D106" s="18" t="str">
        <x:v>인스타 카드형 게시물</x:v>
      </x:c>
      <x:c r="E106" s="18" t="str">
        <x:v>다음 30일 콘텐츠 예고</x:v>
      </x:c>
      <x:c r="F106" s="18" t="str">
        <x:v>5~7장: 질문 → 예시 → 정리 → 다음편</x:v>
      </x:c>
      <x:c r="G106" s="18" t="str">
        <x:v>저장·다음편 안내 중 하나</x:v>
      </x:c>
      <x:c r="H106" s="18" t="str">
        <x:v>100일 성과표·다음 30일 집중 채널 2개</x:v>
      </x:c>
      <x:c r="I106" s="18" t="str">
        <x:v>자체 제작 자료</x:v>
      </x:c>
      <x:c r="J106" s="22" t="str">
        <x:v>초안 전</x:v>
      </x:c>
      <x:c r="K106" s="18"/>
    </x:row>
    <x:row r="107" ht="84" customHeight="1">
      <x:c r="A107" s="18" t="str">
        <x:v>W15-K1</x:v>
      </x:c>
      <x:c r="B107" s="18" t="n">
        <x:v>15</x:v>
      </x:c>
      <x:c r="C107" s="20" t="n">
        <x:v>46372</x:v>
      </x:c>
      <x:c r="D107" s="18" t="str">
        <x:v>카카오 채널 소식</x:v>
      </x:c>
      <x:c r="E107" s="18" t="str">
        <x:v>100일 결산과 다음 실험 선택</x:v>
      </x:c>
      <x:c r="F107" s="18" t="str">
        <x:v>좋은 콘텐츠 1개를 3~5문장으로 요약</x:v>
      </x:c>
      <x:c r="G107" s="18" t="str">
        <x:v>관련 글 또는 자료 메뉴 1개</x:v>
      </x:c>
      <x:c r="H107" s="18" t="str">
        <x:v>100일 성과표·다음 30일 집중 채널 2개</x:v>
      </x:c>
      <x:c r="I107" s="18" t="str">
        <x:v>채널 소식 게시 ≠ 전체 메시지 발송</x:v>
      </x:c>
      <x:c r="J107" s="22" t="str">
        <x:v>초안 전</x:v>
      </x:c>
      <x:c r="K107" s="18"/>
    </x:row>
  </x:sheetData>
  <x:mergeCells>
    <x:mergeCell ref="A1:K1"/>
    <x:mergeCell ref="A2:K3"/>
  </x:mergeCells>
  <x:conditionalFormatting sqref="J6:J107">
    <x:cfRule type="expression" dxfId="2" priority="1">
      <x:formula>J6="완료"</x:formula>
    </x:cfRule>
  </x:conditionalFormatting>
  <x:dataValidations count="1">
    <x:dataValidation type="list" sqref="J6:J107">
      <x:formula1>"미착수,진행중,완료,보류,초안 전,발행"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4b26cf7e2248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19" hidden="0" customWidth="1"/>
    <x:col min="15" max="15" width="19" hidden="0" customWidth="1"/>
    <x:col min="16" max="16" width="38" hidden="0" customWidth="1"/>
  </x:cols>
  <x:sheetData>
    <x:row r="1" ht="30" customHeight="1">
      <x:c r="A1" s="7" t="str">
        <x:v>예산 | 300만 원 한도 시뮬레이션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ht="26" customHeight="1">
      <x:c r="A2" s="11" t="str">
        <x:v>총액 300만 원 = 주차별 집행상한 270만 원 + 미집행 예비비 30만 원. 본인·보조 인건비 제외. VAT·수수료가 생기면 같은 총액 안에서 매체 순집행액 감액. 예산은 집행 권한·예약을 뜻하지 않음.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2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38" customHeight="1">
      <x:c r="A5" s="15" t="str">
        <x:v>주차</x:v>
      </x:c>
      <x:c r="B5" s="15" t="str">
        <x:v>시작</x:v>
      </x:c>
      <x:c r="C5" s="15" t="str">
        <x:v>종료</x:v>
      </x:c>
      <x:c r="D5" s="15" t="str">
        <x:v>Meta 배정</x:v>
      </x:c>
      <x:c r="E5" s="15" t="str">
        <x:v>네이버 배정</x:v>
      </x:c>
      <x:c r="F5" s="15" t="str">
        <x:v>카카오 배정</x:v>
      </x:c>
      <x:c r="G5" s="15" t="str">
        <x:v>제휴·공동콘텐츠</x:v>
      </x:c>
      <x:c r="H5" s="15" t="str">
        <x:v>자료·메시지·운영</x:v>
      </x:c>
      <x:c r="I5" s="15" t="str">
        <x:v>주차합계(자동)</x:v>
      </x:c>
      <x:c r="J5" s="15" t="str">
        <x:v>실험</x:v>
      </x:c>
      <x:c r="K5" s="15" t="str">
        <x:v>통제</x:v>
      </x:c>
      <x:c r="L5" s="15" t="str">
        <x:v>중단 기준</x:v>
      </x:c>
      <x:c r="M5" s="15" t="str">
        <x:v>비고</x:v>
      </x:c>
      <x:c r="N5" s="15" t="str">
        <x:v>실제총지출</x:v>
      </x:c>
      <x:c r="O5" s="15" t="str">
        <x:v>계획대비잔액</x:v>
      </x:c>
      <x:c r="P5" s="15" t="str">
        <x:v>변경 이유</x:v>
      </x:c>
    </x:row>
    <x:row r="6" ht="75" customHeight="1">
      <x:c r="A6" s="18" t="n">
        <x:v>1</x:v>
      </x:c>
      <x:c r="B6" s="20" t="n">
        <x:v>46273</x:v>
      </x:c>
      <x:c r="C6" s="20" t="n">
        <x:v>46279</x:v>
      </x:c>
      <x:c r="D6" s="26" t="n">
        <x:v>0</x:v>
      </x:c>
      <x:c r="E6" s="26" t="n">
        <x:v>0</x:v>
      </x:c>
      <x:c r="F6" s="26" t="n">
        <x:v>0</x:v>
      </x:c>
      <x:c r="G6" s="26" t="n">
        <x:v>0</x:v>
      </x:c>
      <x:c r="H6" s="26" t="n">
        <x:v>50000</x:v>
      </x:c>
      <x:c r="I6" s="26" t="n">
        <x:f>SUM(D6:H6)</x:f>
        <x:v>50000</x:v>
      </x:c>
      <x:c r="J6" s="18" t="str">
        <x:v>광고 집행 전 추적 링크·신청 화면 3기기 점검. 비용은 테스트·자료 제작 상한.</x:v>
      </x:c>
      <x:c r="K6" s="18" t="str">
        <x:v>비교 가능한 소재 2개 이내·매체 2곳 이내</x:v>
      </x:c>
      <x:c r="L6" s="18" t="str">
        <x:v>표본 작으면 연장, 오류·무관문의·낭비 지출이면 중단</x:v>
      </x:c>
      <x:c r="M6" s="18" t="str">
        <x:v>실제 견적 아님·합의 없으면 집행 안 함</x:v>
      </x:c>
      <x:c r="N6" s="30"/>
      <x:c r="O6" s="26" t="str">
        <x:f>IF(N6="","",I6-N6)</x:f>
      </x:c>
      <x:c r="P6" s="18"/>
    </x:row>
    <x:row r="7" ht="75" customHeight="1">
      <x:c r="A7" s="18" t="n">
        <x:v>2</x:v>
      </x:c>
      <x:c r="B7" s="20" t="n">
        <x:v>46280</x:v>
      </x:c>
      <x:c r="C7" s="20" t="n">
        <x:v>46286</x:v>
      </x:c>
      <x:c r="D7" s="26" t="n">
        <x:v>100000</x:v>
      </x:c>
      <x:c r="E7" s="26" t="n">
        <x:v>0</x:v>
      </x:c>
      <x:c r="F7" s="26" t="n">
        <x:v>0</x:v>
      </x:c>
      <x:c r="G7" s="26" t="n">
        <x:v>0</x:v>
      </x:c>
      <x:c r="H7" s="26" t="n">
        <x:v>20000</x:v>
      </x:c>
      <x:c r="I7" s="26" t="n">
        <x:f>SUM(D7:H7)</x:f>
        <x:v>120000</x:v>
      </x:c>
      <x:c r="J7" s="18" t="str">
        <x:v>인스타 프로필 방문: 원리 시연 vs 부모 질문, 광고 소재 2개. 세트 1개.</x:v>
      </x:c>
      <x:c r="K7" s="18" t="str">
        <x:v>비교 가능한 소재 2개 이내·매체 2곳 이내</x:v>
      </x:c>
      <x:c r="L7" s="18" t="str">
        <x:v>표본 작으면 연장, 오류·무관문의·낭비 지출이면 중단</x:v>
      </x:c>
      <x:c r="M7" s="18" t="str">
        <x:v>실제 견적 아님·합의 없으면 집행 안 함</x:v>
      </x:c>
      <x:c r="N7" s="30"/>
      <x:c r="O7" s="26" t="str">
        <x:f>IF(N7="","",I7-N7)</x:f>
      </x:c>
      <x:c r="P7" s="18"/>
    </x:row>
    <x:row r="8" ht="75" customHeight="1">
      <x:c r="A8" s="18" t="n">
        <x:v>3</x:v>
      </x:c>
      <x:c r="B8" s="20" t="n">
        <x:v>46287</x:v>
      </x:c>
      <x:c r="C8" s="20" t="n">
        <x:v>46293</x:v>
      </x:c>
      <x:c r="D8" s="26" t="n">
        <x:v>50000</x:v>
      </x:c>
      <x:c r="E8" s="26" t="n">
        <x:v>0</x:v>
      </x:c>
      <x:c r="F8" s="26" t="n">
        <x:v>0</x:v>
      </x:c>
      <x:c r="G8" s="26" t="n">
        <x:v>0</x:v>
      </x:c>
      <x:c r="H8" s="26" t="n">
        <x:v>30000</x:v>
      </x:c>
      <x:c r="I8" s="26" t="n">
        <x:f>SUM(D8:H8)</x:f>
        <x:v>80000</x:v>
      </x:c>
      <x:c r="J8" s="18" t="str">
        <x:v>효율 확인된 인스타 소재만 유지하거나 중단. 연휴라고 무조건 증액하지 않음.</x:v>
      </x:c>
      <x:c r="K8" s="18" t="str">
        <x:v>비교 가능한 소재 2개 이내·매체 2곳 이내</x:v>
      </x:c>
      <x:c r="L8" s="18" t="str">
        <x:v>표본 작으면 연장, 오류·무관문의·낭비 지출이면 중단</x:v>
      </x:c>
      <x:c r="M8" s="18" t="str">
        <x:v>실제 견적 아님·합의 없으면 집행 안 함</x:v>
      </x:c>
      <x:c r="N8" s="30"/>
      <x:c r="O8" s="26" t="str">
        <x:f>IF(N8="","",I8-N8)</x:f>
      </x:c>
      <x:c r="P8" s="18"/>
    </x:row>
    <x:row r="9" ht="75" customHeight="1">
      <x:c r="A9" s="18" t="n">
        <x:v>4</x:v>
      </x:c>
      <x:c r="B9" s="20" t="n">
        <x:v>46294</x:v>
      </x:c>
      <x:c r="C9" s="20" t="n">
        <x:v>46300</x:v>
      </x:c>
      <x:c r="D9" s="26" t="n">
        <x:v>80000</x:v>
      </x:c>
      <x:c r="E9" s="26" t="n">
        <x:v>80000</x:v>
      </x:c>
      <x:c r="F9" s="26" t="n">
        <x:v>0</x:v>
      </x:c>
      <x:c r="G9" s="26" t="n">
        <x:v>50000</x:v>
      </x:c>
      <x:c r="H9" s="26" t="n">
        <x:v>10000</x:v>
      </x:c>
      <x:c r="I9" s="26" t="n">
        <x:f>SUM(D9:H9)</x:f>
        <x:v>220000</x:v>
      </x:c>
      <x:c r="J9" s="18" t="str">
        <x:v>네이버 키워드 후보 10개 확인. 파워컨텐츠 승인 가능 시 시험, 불가 시 파워링크로 실제 체험 페이지 연결.</x:v>
      </x:c>
      <x:c r="K9" s="18" t="str">
        <x:v>비교 가능한 소재 2개 이내·매체 2곳 이내</x:v>
      </x:c>
      <x:c r="L9" s="18" t="str">
        <x:v>표본 작으면 연장, 오류·무관문의·낭비 지출이면 중단</x:v>
      </x:c>
      <x:c r="M9" s="18" t="str">
        <x:v>실제 견적 아님·합의 없으면 집행 안 함</x:v>
      </x:c>
      <x:c r="N9" s="30"/>
      <x:c r="O9" s="26" t="str">
        <x:f>IF(N9="","",I9-N9)</x:f>
      </x:c>
      <x:c r="P9" s="18"/>
    </x:row>
    <x:row r="10" ht="75" customHeight="1">
      <x:c r="A10" s="18" t="n">
        <x:v>5</x:v>
      </x:c>
      <x:c r="B10" s="20" t="n">
        <x:v>46301</x:v>
      </x:c>
      <x:c r="C10" s="20" t="n">
        <x:v>46307</x:v>
      </x:c>
      <x:c r="D10" s="26" t="n">
        <x:v>70000</x:v>
      </x:c>
      <x:c r="E10" s="26" t="n">
        <x:v>70000</x:v>
      </x:c>
      <x:c r="F10" s="26" t="n">
        <x:v>0</x:v>
      </x:c>
      <x:c r="G10" s="26" t="n">
        <x:v>70000</x:v>
      </x:c>
      <x:c r="H10" s="26" t="n">
        <x:v>10000</x:v>
      </x:c>
      <x:c r="I10" s="26" t="n">
        <x:f>SUM(D10:H10)</x:f>
        <x:v>220000</x:v>
      </x:c>
      <x:c r="J10" s="18" t="str">
        <x:v>네이버 의도형 검색어와 인스타 입문 영상 2개만 비교. 성별은 부모 전체로 시작.</x:v>
      </x:c>
      <x:c r="K10" s="18" t="str">
        <x:v>비교 가능한 소재 2개 이내·매체 2곳 이내</x:v>
      </x:c>
      <x:c r="L10" s="18" t="str">
        <x:v>표본 작으면 연장, 오류·무관문의·낭비 지출이면 중단</x:v>
      </x:c>
      <x:c r="M10" s="18" t="str">
        <x:v>실제 견적 아님·합의 없으면 집행 안 함</x:v>
      </x:c>
      <x:c r="N10" s="30"/>
      <x:c r="O10" s="26" t="str">
        <x:f>IF(N10="","",I10-N10)</x:f>
      </x:c>
      <x:c r="P10" s="18"/>
    </x:row>
    <x:row r="11" ht="75" customHeight="1">
      <x:c r="A11" s="18" t="n">
        <x:v>6</x:v>
      </x:c>
      <x:c r="B11" s="20" t="n">
        <x:v>46308</x:v>
      </x:c>
      <x:c r="C11" s="20" t="n">
        <x:v>46314</x:v>
      </x:c>
      <x:c r="D11" s="26" t="n">
        <x:v>50000</x:v>
      </x:c>
      <x:c r="E11" s="26" t="n">
        <x:v>0</x:v>
      </x:c>
      <x:c r="F11" s="26" t="n">
        <x:v>80000</x:v>
      </x:c>
      <x:c r="G11" s="26" t="n">
        <x:v>40000</x:v>
      </x:c>
      <x:c r="H11" s="26" t="n">
        <x:v>10000</x:v>
      </x:c>
      <x:c r="I11" s="26" t="n">
        <x:f>SUM(D11:H11)</x:f>
        <x:v>180000</x:v>
      </x:c>
      <x:c r="J11" s="18" t="str">
        <x:v>카카오 채널추가 최적화 첫 시험 7일. 인스타 또는 네이버 하나는 쉬어 동시 매체 2개 이하.</x:v>
      </x:c>
      <x:c r="K11" s="18" t="str">
        <x:v>비교 가능한 소재 2개 이내·매체 2곳 이내</x:v>
      </x:c>
      <x:c r="L11" s="18" t="str">
        <x:v>표본 작으면 연장, 오류·무관문의·낭비 지출이면 중단</x:v>
      </x:c>
      <x:c r="M11" s="18" t="str">
        <x:v>실제 견적 아님·합의 없으면 집행 안 함</x:v>
      </x:c>
      <x:c r="N11" s="30"/>
      <x:c r="O11" s="26" t="str">
        <x:f>IF(N11="","",I11-N11)</x:f>
      </x:c>
      <x:c r="P11" s="18"/>
    </x:row>
    <x:row r="12" ht="75" customHeight="1">
      <x:c r="A12" s="18" t="n">
        <x:v>7</x:v>
      </x:c>
      <x:c r="B12" s="20" t="n">
        <x:v>46315</x:v>
      </x:c>
      <x:c r="C12" s="20" t="n">
        <x:v>46321</x:v>
      </x:c>
      <x:c r="D12" s="26" t="n">
        <x:v>0</x:v>
      </x:c>
      <x:c r="E12" s="26" t="n">
        <x:v>70000</x:v>
      </x:c>
      <x:c r="F12" s="26" t="n">
        <x:v>70000</x:v>
      </x:c>
      <x:c r="G12" s="26" t="n">
        <x:v>50000</x:v>
      </x:c>
      <x:c r="H12" s="26" t="n">
        <x:v>10000</x:v>
      </x:c>
      <x:c r="I12" s="26" t="n">
        <x:f>SUM(D12:H12)</x:f>
        <x:v>200000</x:v>
      </x:c>
      <x:c r="J12" s="18" t="str">
        <x:v>지난 실험 중 우수 2경로만 유지. 최근 14일 결과와 상담 품질 확인.</x:v>
      </x:c>
      <x:c r="K12" s="18" t="str">
        <x:v>비교 가능한 소재 2개 이내·매체 2곳 이내</x:v>
      </x:c>
      <x:c r="L12" s="18" t="str">
        <x:v>표본 작으면 연장, 오류·무관문의·낭비 지출이면 중단</x:v>
      </x:c>
      <x:c r="M12" s="18" t="str">
        <x:v>실제 견적 아님·합의 없으면 집행 안 함</x:v>
      </x:c>
      <x:c r="N12" s="30"/>
      <x:c r="O12" s="26" t="str">
        <x:f>IF(N12="","",I12-N12)</x:f>
      </x:c>
      <x:c r="P12" s="18"/>
    </x:row>
    <x:row r="13" ht="75" customHeight="1">
      <x:c r="A13" s="18" t="n">
        <x:v>8</x:v>
      </x:c>
      <x:c r="B13" s="20" t="n">
        <x:v>46322</x:v>
      </x:c>
      <x:c r="C13" s="20" t="n">
        <x:v>46328</x:v>
      </x:c>
      <x:c r="D13" s="26" t="n">
        <x:v>80000</x:v>
      </x:c>
      <x:c r="E13" s="26" t="n">
        <x:v>0</x:v>
      </x:c>
      <x:c r="F13" s="26" t="n">
        <x:v>80000</x:v>
      </x:c>
      <x:c r="G13" s="26" t="n">
        <x:v>80000</x:v>
      </x:c>
      <x:c r="H13" s="26" t="n">
        <x:v>10000</x:v>
      </x:c>
      <x:c r="I13" s="26" t="n">
        <x:f>SUM(D13:H13)</x:f>
        <x:v>250000</x:v>
      </x:c>
      <x:c r="J13" s="18" t="str">
        <x:v>7일 활동 신청과 카카오 자료요청 중 이탈 적은 경로에 집중. 실제 운영 가능 인원 내 모집.</x:v>
      </x:c>
      <x:c r="K13" s="18" t="str">
        <x:v>비교 가능한 소재 2개 이내·매체 2곳 이내</x:v>
      </x:c>
      <x:c r="L13" s="18" t="str">
        <x:v>표본 작으면 연장, 오류·무관문의·낭비 지출이면 중단</x:v>
      </x:c>
      <x:c r="M13" s="18" t="str">
        <x:v>실제 견적 아님·합의 없으면 집행 안 함</x:v>
      </x:c>
      <x:c r="N13" s="30"/>
      <x:c r="O13" s="26" t="str">
        <x:f>IF(N13="","",I13-N13)</x:f>
      </x:c>
      <x:c r="P13" s="18"/>
    </x:row>
    <x:row r="14" ht="75" customHeight="1">
      <x:c r="A14" s="18" t="n">
        <x:v>9</x:v>
      </x:c>
      <x:c r="B14" s="20" t="n">
        <x:v>46329</x:v>
      </x:c>
      <x:c r="C14" s="20" t="n">
        <x:v>46335</x:v>
      </x:c>
      <x:c r="D14" s="26" t="n">
        <x:v>60000</x:v>
      </x:c>
      <x:c r="E14" s="26" t="n">
        <x:v>70000</x:v>
      </x:c>
      <x:c r="F14" s="26" t="n">
        <x:v>0</x:v>
      </x:c>
      <x:c r="G14" s="26" t="n">
        <x:v>60000</x:v>
      </x:c>
      <x:c r="H14" s="26" t="n">
        <x:v>10000</x:v>
      </x:c>
      <x:c r="I14" s="26" t="n">
        <x:f>SUM(D14:H14)</x:f>
        <x:v>200000</x:v>
      </x:c>
      <x:c r="J14" s="18" t="str">
        <x:v>참여자 사례 소재와 교사 시연 소재 비교. 본인 허락 없는 사례 광고 사용 금지.</x:v>
      </x:c>
      <x:c r="K14" s="18" t="str">
        <x:v>비교 가능한 소재 2개 이내·매체 2곳 이내</x:v>
      </x:c>
      <x:c r="L14" s="18" t="str">
        <x:v>표본 작으면 연장, 오류·무관문의·낭비 지출이면 중단</x:v>
      </x:c>
      <x:c r="M14" s="18" t="str">
        <x:v>실제 견적 아님·합의 없으면 집행 안 함</x:v>
      </x:c>
      <x:c r="N14" s="30"/>
      <x:c r="O14" s="26" t="str">
        <x:f>IF(N14="","",I14-N14)</x:f>
      </x:c>
      <x:c r="P14" s="18"/>
    </x:row>
    <x:row r="15" ht="75" customHeight="1">
      <x:c r="A15" s="18" t="n">
        <x:v>10</x:v>
      </x:c>
      <x:c r="B15" s="20" t="n">
        <x:v>46336</x:v>
      </x:c>
      <x:c r="C15" s="20" t="n">
        <x:v>46342</x:v>
      </x:c>
      <x:c r="D15" s="26" t="n">
        <x:v>80000</x:v>
      </x:c>
      <x:c r="E15" s="26" t="n">
        <x:v>80000</x:v>
      </x:c>
      <x:c r="F15" s="26" t="n">
        <x:v>0</x:v>
      </x:c>
      <x:c r="G15" s="26" t="n">
        <x:v>80000</x:v>
      </x:c>
      <x:c r="H15" s="26" t="n">
        <x:v>10000</x:v>
      </x:c>
      <x:c r="I15" s="26" t="n">
        <x:f>SUM(D15:H15)</x:f>
        <x:v>250000</x:v>
      </x:c>
      <x:c r="J15" s="18" t="str">
        <x:v>프로필 방문이 많은데 팔로우가 적으면 새 광고보다 프로필·대표글을 먼저 수정.</x:v>
      </x:c>
      <x:c r="K15" s="18" t="str">
        <x:v>비교 가능한 소재 2개 이내·매체 2곳 이내</x:v>
      </x:c>
      <x:c r="L15" s="18" t="str">
        <x:v>표본 작으면 연장, 오류·무관문의·낭비 지출이면 중단</x:v>
      </x:c>
      <x:c r="M15" s="18" t="str">
        <x:v>실제 견적 아님·합의 없으면 집행 안 함</x:v>
      </x:c>
      <x:c r="N15" s="30"/>
      <x:c r="O15" s="26" t="str">
        <x:f>IF(N15="","",I15-N15)</x:f>
      </x:c>
      <x:c r="P15" s="18"/>
    </x:row>
    <x:row r="16" ht="75" customHeight="1">
      <x:c r="A16" s="18" t="n">
        <x:v>11</x:v>
      </x:c>
      <x:c r="B16" s="20" t="n">
        <x:v>46343</x:v>
      </x:c>
      <x:c r="C16" s="20" t="n">
        <x:v>46349</x:v>
      </x:c>
      <x:c r="D16" s="26" t="n">
        <x:v>90000</x:v>
      </x:c>
      <x:c r="E16" s="26" t="n">
        <x:v>100000</x:v>
      </x:c>
      <x:c r="F16" s="26" t="n">
        <x:v>0</x:v>
      </x:c>
      <x:c r="G16" s="26" t="n">
        <x:v>70000</x:v>
      </x:c>
      <x:c r="H16" s="26" t="n">
        <x:v>10000</x:v>
      </x:c>
      <x:c r="I16" s="26" t="n">
        <x:f>SUM(D16:H16)</x:f>
        <x:v>270000</x:v>
      </x:c>
      <x:c r="J16" s="18" t="str">
        <x:v>겨울 수학/파이썬 검색어 후보를 실제 도구에서 확인. 검색량 추정 수치 광고에 쓰지 않음.</x:v>
      </x:c>
      <x:c r="K16" s="18" t="str">
        <x:v>비교 가능한 소재 2개 이내·매체 2곳 이내</x:v>
      </x:c>
      <x:c r="L16" s="18" t="str">
        <x:v>표본 작으면 연장, 오류·무관문의·낭비 지출이면 중단</x:v>
      </x:c>
      <x:c r="M16" s="18" t="str">
        <x:v>실제 견적 아님·합의 없으면 집행 안 함</x:v>
      </x:c>
      <x:c r="N16" s="30"/>
      <x:c r="O16" s="26" t="str">
        <x:f>IF(N16="","",I16-N16)</x:f>
      </x:c>
      <x:c r="P16" s="18"/>
    </x:row>
    <x:row r="17" ht="75" customHeight="1">
      <x:c r="A17" s="18" t="n">
        <x:v>12</x:v>
      </x:c>
      <x:c r="B17" s="20" t="n">
        <x:v>46350</x:v>
      </x:c>
      <x:c r="C17" s="20" t="n">
        <x:v>46356</x:v>
      </x:c>
      <x:c r="D17" s="26" t="n">
        <x:v>80000</x:v>
      </x:c>
      <x:c r="E17" s="26" t="n">
        <x:v>90000</x:v>
      </x:c>
      <x:c r="F17" s="26" t="n">
        <x:v>0</x:v>
      </x:c>
      <x:c r="G17" s="26" t="n">
        <x:v>90000</x:v>
      </x:c>
      <x:c r="H17" s="26" t="n">
        <x:v>10000</x:v>
      </x:c>
      <x:c r="I17" s="26" t="n">
        <x:f>SUM(D17:H17)</x:f>
        <x:v>270000</x:v>
      </x:c>
      <x:c r="J17" s="18" t="str">
        <x:v>신규 크리에이티브 2개만 시험. 매일 여러 변수를 바꾸지 않고 5~7일 단위 비교.</x:v>
      </x:c>
      <x:c r="K17" s="18" t="str">
        <x:v>비교 가능한 소재 2개 이내·매체 2곳 이내</x:v>
      </x:c>
      <x:c r="L17" s="18" t="str">
        <x:v>표본 작으면 연장, 오류·무관문의·낭비 지출이면 중단</x:v>
      </x:c>
      <x:c r="M17" s="18" t="str">
        <x:v>실제 견적 아님·합의 없으면 집행 안 함</x:v>
      </x:c>
      <x:c r="N17" s="30"/>
      <x:c r="O17" s="26" t="str">
        <x:f>IF(N17="","",I17-N17)</x:f>
      </x:c>
      <x:c r="P17" s="18"/>
    </x:row>
    <x:row r="18" ht="75" customHeight="1">
      <x:c r="A18" s="18" t="n">
        <x:v>13</x:v>
      </x:c>
      <x:c r="B18" s="20" t="n">
        <x:v>46357</x:v>
      </x:c>
      <x:c r="C18" s="20" t="n">
        <x:v>46363</x:v>
      </x:c>
      <x:c r="D18" s="26" t="n">
        <x:v>60000</x:v>
      </x:c>
      <x:c r="E18" s="26" t="n">
        <x:v>0</x:v>
      </x:c>
      <x:c r="F18" s="26" t="n">
        <x:v>60000</x:v>
      </x:c>
      <x:c r="G18" s="26" t="n">
        <x:v>70000</x:v>
      </x:c>
      <x:c r="H18" s="26" t="n">
        <x:v>10000</x:v>
      </x:c>
      <x:c r="I18" s="26" t="n">
        <x:f>SUM(D18:H18)</x:f>
        <x:v>200000</x:v>
      </x:c>
      <x:c r="J18" s="18" t="str">
        <x:v>누적 우수 경로만 집행. 현재 예산 소진보다 성과 낮은 비용 중단 우선.</x:v>
      </x:c>
      <x:c r="K18" s="18" t="str">
        <x:v>비교 가능한 소재 2개 이내·매체 2곳 이내</x:v>
      </x:c>
      <x:c r="L18" s="18" t="str">
        <x:v>표본 작으면 연장, 오류·무관문의·낭비 지출이면 중단</x:v>
      </x:c>
      <x:c r="M18" s="18" t="str">
        <x:v>실제 견적 아님·합의 없으면 집행 안 함</x:v>
      </x:c>
      <x:c r="N18" s="30"/>
      <x:c r="O18" s="26" t="str">
        <x:f>IF(N18="","",I18-N18)</x:f>
      </x:c>
      <x:c r="P18" s="18"/>
    </x:row>
    <x:row r="19" ht="75" customHeight="1">
      <x:c r="A19" s="18" t="n">
        <x:v>14</x:v>
      </x:c>
      <x:c r="B19" s="20" t="n">
        <x:v>46364</x:v>
      </x:c>
      <x:c r="C19" s="20" t="n">
        <x:v>46370</x:v>
      </x:c>
      <x:c r="D19" s="26" t="n">
        <x:v>40000</x:v>
      </x:c>
      <x:c r="E19" s="26" t="n">
        <x:v>50000</x:v>
      </x:c>
      <x:c r="F19" s="26" t="n">
        <x:v>0</x:v>
      </x:c>
      <x:c r="G19" s="26" t="n">
        <x:v>50000</x:v>
      </x:c>
      <x:c r="H19" s="26" t="n">
        <x:v>10000</x:v>
      </x:c>
      <x:c r="I19" s="26" t="n">
        <x:f>SUM(D19:H19)</x:f>
        <x:v>150000</x:v>
      </x:c>
      <x:c r="J19" s="18" t="str">
        <x:v>광고 효율 낮은 매체 종료. 예산 잔액을 소진하려고 집행하지 않음.</x:v>
      </x:c>
      <x:c r="K19" s="18" t="str">
        <x:v>비교 가능한 소재 2개 이내·매체 2곳 이내</x:v>
      </x:c>
      <x:c r="L19" s="18" t="str">
        <x:v>표본 작으면 연장, 오류·무관문의·낭비 지출이면 중단</x:v>
      </x:c>
      <x:c r="M19" s="18" t="str">
        <x:v>실제 견적 아님·합의 없으면 집행 안 함</x:v>
      </x:c>
      <x:c r="N19" s="30"/>
      <x:c r="O19" s="26" t="str">
        <x:f>IF(N19="","",I19-N19)</x:f>
      </x:c>
      <x:c r="P19" s="18"/>
    </x:row>
    <x:row r="20" ht="75" customHeight="1">
      <x:c r="A20" s="18" t="n">
        <x:v>15</x:v>
      </x:c>
      <x:c r="B20" s="20" t="n">
        <x:v>46371</x:v>
      </x:c>
      <x:c r="C20" s="20" t="n">
        <x:v>46372</x:v>
      </x:c>
      <x:c r="D20" s="26" t="n">
        <x:v>20000</x:v>
      </x:c>
      <x:c r="E20" s="26" t="n">
        <x:v>20000</x:v>
      </x:c>
      <x:c r="F20" s="26" t="n">
        <x:v>0</x:v>
      </x:c>
      <x:c r="G20" s="26" t="n">
        <x:v>0</x:v>
      </x:c>
      <x:c r="H20" s="26" t="n">
        <x:v>0</x:v>
      </x:c>
      <x:c r="I20" s="26" t="n">
        <x:f>SUM(D20:H20)</x:f>
        <x:v>40000</x:v>
      </x:c>
      <x:c r="J20" s="18" t="str">
        <x:v>미집행 예산 환류·종료. 새 광고는 다음 계획에서 판단.</x:v>
      </x:c>
      <x:c r="K20" s="18" t="str">
        <x:v>비교 가능한 소재 2개 이내·매체 2곳 이내</x:v>
      </x:c>
      <x:c r="L20" s="18" t="str">
        <x:v>표본 작으면 연장, 오류·무관문의·낭비 지출이면 중단</x:v>
      </x:c>
      <x:c r="M20" s="18" t="str">
        <x:v>실제 견적 아님·합의 없으면 집행 안 함</x:v>
      </x:c>
      <x:c r="N20" s="30"/>
      <x:c r="O20" s="26" t="str">
        <x:f>IF(N20="","",I20-N20)</x:f>
      </x:c>
      <x:c r="P20" s="18"/>
    </x:row>
    <x:row r="21">
      <x:c r="D21" s="27"/>
      <x:c r="E21" s="27"/>
      <x:c r="F21" s="27"/>
      <x:c r="G21" s="27"/>
      <x:c r="H21" s="27"/>
      <x:c r="I21" s="27"/>
    </x:row>
    <x:row r="22">
      <x:c r="A22" t="str">
        <x:v>합계</x:v>
      </x:c>
      <x:c r="B22"/>
      <x:c r="C22"/>
      <x:c r="D22" s="27" t="n">
        <x:f>SUM(D6:D20)</x:f>
        <x:v>860000</x:v>
      </x:c>
      <x:c r="E22" s="27" t="n">
        <x:f>SUM(E6:E20)</x:f>
        <x:v>630000</x:v>
      </x:c>
      <x:c r="F22" s="27" t="n">
        <x:f>SUM(F6:F20)</x:f>
        <x:v>290000</x:v>
      </x:c>
      <x:c r="G22" s="27" t="n">
        <x:f>SUM(G6:G20)</x:f>
        <x:v>710000</x:v>
      </x:c>
      <x:c r="H22" s="27" t="n">
        <x:f>SUM(H6:H20)</x:f>
        <x:v>210000</x:v>
      </x:c>
      <x:c r="I22" s="27" t="n">
        <x:f>SUM(I6:I20)</x:f>
        <x:v>2700000</x:v>
      </x:c>
    </x:row>
    <x:row r="24">
      <x:c r="A24" t="str">
        <x:v>총예산</x:v>
      </x:c>
      <x:c r="B24" t="n">
        <x:v>3000000</x:v>
      </x:c>
      <x:c r="C24" t="str">
        <x:v>제안 상한</x:v>
      </x:c>
    </x:row>
    <x:row r="25">
      <x:c r="A25" t="str">
        <x:v>주차배정</x:v>
      </x:c>
      <x:c r="B25" t="n">
        <x:f>I22</x:f>
        <x:v>2700000</x:v>
      </x:c>
      <x:c r="C25" t="str">
        <x:v>미집행 가능</x:v>
      </x:c>
    </x:row>
    <x:row r="26">
      <x:c r="A26" t="str">
        <x:v>예비비</x:v>
      </x:c>
      <x:c r="B26" t="n">
        <x:v>300000</x:v>
      </x:c>
      <x:c r="C26" t="str">
        <x:v>자동 집행 아님</x:v>
      </x:c>
    </x:row>
    <x:row r="27">
      <x:c r="A27" t="str">
        <x:v>검산</x:v>
      </x:c>
      <x:c r="B27" t="n">
        <x:f>B24-B25-B26</x:f>
        <x:v>0</x:v>
      </x:c>
      <x:c r="C27" t="str">
        <x:v>0이면 일치</x:v>
      </x:c>
    </x:row>
  </x:sheetData>
  <x:mergeCells>
    <x:mergeCell ref="A1:P1"/>
    <x:mergeCell ref="A2:P3"/>
  </x:mergeCells>
  <x:pageMargins left="0.7" right="0.7" top="0.75" bottom="0.75" header="0.3" footer="0.3"/>
  <x:tableParts count="1">
    <x:tablePart xmlns:r="http://schemas.openxmlformats.org/officeDocument/2006/relationships" r:id="R6ef858c0d84b42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38" hidden="0" customWidth="1"/>
    <x:col min="25" max="25" width="19" hidden="0" customWidth="1"/>
    <x:col min="26" max="26" width="19" hidden="0" customWidth="1"/>
  </x:cols>
  <x:sheetData>
    <x:row r="1" ht="30" customHeight="1">
      <x:c r="A1" s="7" t="str">
        <x:v>성과 | 실제 값을 입력하는 주간 기록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11" t="str">
        <x:v>파란 입력칸에 확인한 실제 값만 입력. 첫 주 순증에는 시작_대시보드의 기준값이 필요하다. 주차를 빠뜨리지 말고 입력. 채널 합계는 중복 가정 수가 아니며 인과적 광고 성과도 아님.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 ht="2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38" customHeight="1">
      <x:c r="A5" s="15" t="str">
        <x:v>주차</x:v>
      </x:c>
      <x:c r="B5" s="15" t="str">
        <x:v>시작</x:v>
      </x:c>
      <x:c r="C5" s="15" t="str">
        <x:v>종료</x:v>
      </x:c>
      <x:c r="D5" s="15" t="str">
        <x:v>IG목표순증</x:v>
      </x:c>
      <x:c r="E5" s="15" t="str">
        <x:v>이웃목표순증</x:v>
      </x:c>
      <x:c r="F5" s="15" t="str">
        <x:v>카톡목표순증</x:v>
      </x:c>
      <x:c r="G5" s="15" t="str">
        <x:v>IG기말(입력)</x:v>
      </x:c>
      <x:c r="H5" s="15" t="str">
        <x:v>나를추가한이웃기말</x:v>
      </x:c>
      <x:c r="I5" s="15" t="str">
        <x:v>카톡친구기말</x:v>
      </x:c>
      <x:c r="J5" s="15" t="str">
        <x:v>IG실제순증</x:v>
      </x:c>
      <x:c r="K5" s="15" t="str">
        <x:v>이웃실제순증</x:v>
      </x:c>
      <x:c r="L5" s="15" t="str">
        <x:v>카톡실제순증</x:v>
      </x:c>
      <x:c r="M5" s="15" t="str">
        <x:v>자료요청가정</x:v>
      </x:c>
      <x:c r="N5" s="15" t="str">
        <x:v>신규채팅</x:v>
      </x:c>
      <x:c r="O5" s="15" t="str">
        <x:v>체험신청가정</x:v>
      </x:c>
      <x:c r="P5" s="15" t="str">
        <x:v>첫학습가정</x:v>
      </x:c>
      <x:c r="Q5" s="15" t="str">
        <x:v>유료등록가정</x:v>
      </x:c>
      <x:c r="R5" s="15" t="str">
        <x:v>IG광고프로필방문</x:v>
      </x:c>
      <x:c r="S5" s="15" t="str">
        <x:v>네이버검색유입</x:v>
      </x:c>
      <x:c r="T5" s="15" t="str">
        <x:v>클립조회</x:v>
      </x:c>
      <x:c r="U5" s="15" t="str">
        <x:v>공동게시완료</x:v>
      </x:c>
      <x:c r="V5" s="15" t="str">
        <x:v>발송대상수</x:v>
      </x:c>
      <x:c r="W5" s="15" t="str">
        <x:v>발송관련차단수</x:v>
      </x:c>
      <x:c r="X5" s="15" t="str">
        <x:v>소재·원인메모</x:v>
      </x:c>
      <x:c r="Y5" s="15" t="str">
        <x:v>실제지출(자동)</x:v>
      </x:c>
      <x:c r="Z5" s="15" t="str">
        <x:v>체험첫학습률</x:v>
      </x:c>
    </x:row>
    <x:row r="6" ht="58" customHeight="1">
      <x:c r="A6" s="18" t="n">
        <x:v>1</x:v>
      </x:c>
      <x:c r="B6" s="20" t="n">
        <x:v>46273</x:v>
      </x:c>
      <x:c r="C6" s="20" t="n">
        <x:v>46279</x:v>
      </x:c>
      <x:c r="D6" s="18" t="n">
        <x:v>20</x:v>
      </x:c>
      <x:c r="E6" s="18" t="n">
        <x:v>10</x:v>
      </x:c>
      <x:c r="F6" s="18" t="n">
        <x:v>10</x:v>
      </x:c>
      <x:c r="G6" s="24"/>
      <x:c r="H6" s="24"/>
      <x:c r="I6" s="24"/>
      <x:c r="J6" s="18" t="str">
        <x:f>IF(OR(G6="",'시작_대시보드'!$B$10=""),"",G6-'시작_대시보드'!$B$10)</x:f>
      </x:c>
      <x:c r="K6" s="18" t="str">
        <x:f>IF(OR(H6="",'시작_대시보드'!$B$11=""),"",H6-'시작_대시보드'!$B$11)</x:f>
      </x:c>
      <x:c r="L6" s="18" t="str">
        <x:f>IF(OR(I6="",'시작_대시보드'!$B$12=""),"",I6-'시작_대시보드'!$B$12)</x:f>
      </x:c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6" t="str">
        <x:f>IF('광고_예산'!N6="","",'광고_예산'!N6)</x:f>
      </x:c>
      <x:c r="Z6" s="32" t="str">
        <x:f>IF(OR(O6="",P6="",O6=0),"",P6/O6)</x:f>
      </x:c>
    </x:row>
    <x:row r="7" ht="58" customHeight="1">
      <x:c r="A7" s="18" t="n">
        <x:v>2</x:v>
      </x:c>
      <x:c r="B7" s="20" t="n">
        <x:v>46280</x:v>
      </x:c>
      <x:c r="C7" s="20" t="n">
        <x:v>46286</x:v>
      </x:c>
      <x:c r="D7" s="18" t="n">
        <x:v>30</x:v>
      </x:c>
      <x:c r="E7" s="18" t="n">
        <x:v>15</x:v>
      </x:c>
      <x:c r="F7" s="18" t="n">
        <x:v>20</x:v>
      </x:c>
      <x:c r="G7" s="24"/>
      <x:c r="H7" s="24"/>
      <x:c r="I7" s="24"/>
      <x:c r="J7" s="18" t="str">
        <x:f>IF(OR(G7="",G6=""),"",G7-G6)</x:f>
      </x:c>
      <x:c r="K7" s="18" t="str">
        <x:f>IF(OR(H7="",H6=""),"",H7-H6)</x:f>
      </x:c>
      <x:c r="L7" s="18" t="str">
        <x:f>IF(OR(I7="",I6=""),"",I7-I6)</x:f>
      </x:c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6" t="str">
        <x:f>IF('광고_예산'!N7="","",'광고_예산'!N7)</x:f>
      </x:c>
      <x:c r="Z7" s="32" t="str">
        <x:f>IF(OR(O7="",P7="",O7=0),"",P7/O7)</x:f>
      </x:c>
    </x:row>
    <x:row r="8" ht="58" customHeight="1">
      <x:c r="A8" s="18" t="n">
        <x:v>3</x:v>
      </x:c>
      <x:c r="B8" s="20" t="n">
        <x:v>46287</x:v>
      </x:c>
      <x:c r="C8" s="20" t="n">
        <x:v>46293</x:v>
      </x:c>
      <x:c r="D8" s="18" t="n">
        <x:v>30</x:v>
      </x:c>
      <x:c r="E8" s="18" t="n">
        <x:v>10</x:v>
      </x:c>
      <x:c r="F8" s="18" t="n">
        <x:v>10</x:v>
      </x:c>
      <x:c r="G8" s="24"/>
      <x:c r="H8" s="24"/>
      <x:c r="I8" s="24"/>
      <x:c r="J8" s="18" t="str">
        <x:f>IF(OR(G8="",G7=""),"",G8-G7)</x:f>
      </x:c>
      <x:c r="K8" s="18" t="str">
        <x:f>IF(OR(H8="",H7=""),"",H8-H7)</x:f>
      </x:c>
      <x:c r="L8" s="18" t="str">
        <x:f>IF(OR(I8="",I7=""),"",I8-I7)</x:f>
      </x:c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6" t="str">
        <x:f>IF('광고_예산'!N8="","",'광고_예산'!N8)</x:f>
      </x:c>
      <x:c r="Z8" s="32" t="str">
        <x:f>IF(OR(O8="",P8="",O8=0),"",P8/O8)</x:f>
      </x:c>
    </x:row>
    <x:row r="9" ht="58" customHeight="1">
      <x:c r="A9" s="18" t="n">
        <x:v>4</x:v>
      </x:c>
      <x:c r="B9" s="20" t="n">
        <x:v>46294</x:v>
      </x:c>
      <x:c r="C9" s="20" t="n">
        <x:v>46300</x:v>
      </x:c>
      <x:c r="D9" s="18" t="n">
        <x:v>60</x:v>
      </x:c>
      <x:c r="E9" s="18" t="n">
        <x:v>20</x:v>
      </x:c>
      <x:c r="F9" s="18" t="n">
        <x:v>30</x:v>
      </x:c>
      <x:c r="G9" s="24"/>
      <x:c r="H9" s="24"/>
      <x:c r="I9" s="24"/>
      <x:c r="J9" s="18" t="str">
        <x:f>IF(OR(G9="",G8=""),"",G9-G8)</x:f>
      </x:c>
      <x:c r="K9" s="18" t="str">
        <x:f>IF(OR(H9="",H8=""),"",H9-H8)</x:f>
      </x:c>
      <x:c r="L9" s="18" t="str">
        <x:f>IF(OR(I9="",I8=""),"",I9-I8)</x:f>
      </x:c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6" t="str">
        <x:f>IF('광고_예산'!N9="","",'광고_예산'!N9)</x:f>
      </x:c>
      <x:c r="Z9" s="32" t="str">
        <x:f>IF(OR(O9="",P9="",O9=0),"",P9/O9)</x:f>
      </x:c>
    </x:row>
    <x:row r="10" ht="58" customHeight="1">
      <x:c r="A10" s="18" t="n">
        <x:v>5</x:v>
      </x:c>
      <x:c r="B10" s="20" t="n">
        <x:v>46301</x:v>
      </x:c>
      <x:c r="C10" s="20" t="n">
        <x:v>46307</x:v>
      </x:c>
      <x:c r="D10" s="18" t="n">
        <x:v>60</x:v>
      </x:c>
      <x:c r="E10" s="18" t="n">
        <x:v>20</x:v>
      </x:c>
      <x:c r="F10" s="18" t="n">
        <x:v>30</x:v>
      </x:c>
      <x:c r="G10" s="24"/>
      <x:c r="H10" s="24"/>
      <x:c r="I10" s="24"/>
      <x:c r="J10" s="18" t="str">
        <x:f>IF(OR(G10="",G9=""),"",G10-G9)</x:f>
      </x:c>
      <x:c r="K10" s="18" t="str">
        <x:f>IF(OR(H10="",H9=""),"",H10-H9)</x:f>
      </x:c>
      <x:c r="L10" s="18" t="str">
        <x:f>IF(OR(I10="",I9=""),"",I10-I9)</x:f>
      </x:c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6" t="str">
        <x:f>IF('광고_예산'!N10="","",'광고_예산'!N10)</x:f>
      </x:c>
      <x:c r="Z10" s="32" t="str">
        <x:f>IF(OR(O10="",P10="",O10=0),"",P10/O10)</x:f>
      </x:c>
    </x:row>
    <x:row r="11" ht="58" customHeight="1">
      <x:c r="A11" s="18" t="n">
        <x:v>6</x:v>
      </x:c>
      <x:c r="B11" s="20" t="n">
        <x:v>46308</x:v>
      </x:c>
      <x:c r="C11" s="20" t="n">
        <x:v>46314</x:v>
      </x:c>
      <x:c r="D11" s="18" t="n">
        <x:v>60</x:v>
      </x:c>
      <x:c r="E11" s="18" t="n">
        <x:v>20</x:v>
      </x:c>
      <x:c r="F11" s="18" t="n">
        <x:v>30</x:v>
      </x:c>
      <x:c r="G11" s="24"/>
      <x:c r="H11" s="24"/>
      <x:c r="I11" s="24"/>
      <x:c r="J11" s="18" t="str">
        <x:f>IF(OR(G11="",G10=""),"",G11-G10)</x:f>
      </x:c>
      <x:c r="K11" s="18" t="str">
        <x:f>IF(OR(H11="",H10=""),"",H11-H10)</x:f>
      </x:c>
      <x:c r="L11" s="18" t="str">
        <x:f>IF(OR(I11="",I10=""),"",I11-I10)</x:f>
      </x:c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6" t="str">
        <x:f>IF('광고_예산'!N11="","",'광고_예산'!N11)</x:f>
      </x:c>
      <x:c r="Z11" s="32" t="str">
        <x:f>IF(OR(O11="",P11="",O11=0),"",P11/O11)</x:f>
      </x:c>
    </x:row>
    <x:row r="12" ht="58" customHeight="1">
      <x:c r="A12" s="18" t="n">
        <x:v>7</x:v>
      </x:c>
      <x:c r="B12" s="20" t="n">
        <x:v>46315</x:v>
      </x:c>
      <x:c r="C12" s="20" t="n">
        <x:v>46321</x:v>
      </x:c>
      <x:c r="D12" s="18" t="n">
        <x:v>70</x:v>
      </x:c>
      <x:c r="E12" s="18" t="n">
        <x:v>20</x:v>
      </x:c>
      <x:c r="F12" s="18" t="n">
        <x:v>40</x:v>
      </x:c>
      <x:c r="G12" s="24"/>
      <x:c r="H12" s="24"/>
      <x:c r="I12" s="24"/>
      <x:c r="J12" s="18" t="str">
        <x:f>IF(OR(G12="",G11=""),"",G12-G11)</x:f>
      </x:c>
      <x:c r="K12" s="18" t="str">
        <x:f>IF(OR(H12="",H11=""),"",H12-H11)</x:f>
      </x:c>
      <x:c r="L12" s="18" t="str">
        <x:f>IF(OR(I12="",I11=""),"",I12-I11)</x:f>
      </x:c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6" t="str">
        <x:f>IF('광고_예산'!N12="","",'광고_예산'!N12)</x:f>
      </x:c>
      <x:c r="Z12" s="32" t="str">
        <x:f>IF(OR(O12="",P12="",O12=0),"",P12/O12)</x:f>
      </x:c>
    </x:row>
    <x:row r="13" ht="58" customHeight="1">
      <x:c r="A13" s="18" t="n">
        <x:v>8</x:v>
      </x:c>
      <x:c r="B13" s="20" t="n">
        <x:v>46322</x:v>
      </x:c>
      <x:c r="C13" s="20" t="n">
        <x:v>46328</x:v>
      </x:c>
      <x:c r="D13" s="18" t="n">
        <x:v>80</x:v>
      </x:c>
      <x:c r="E13" s="18" t="n">
        <x:v>25</x:v>
      </x:c>
      <x:c r="F13" s="18" t="n">
        <x:v>50</x:v>
      </x:c>
      <x:c r="G13" s="24"/>
      <x:c r="H13" s="24"/>
      <x:c r="I13" s="24"/>
      <x:c r="J13" s="18" t="str">
        <x:f>IF(OR(G13="",G12=""),"",G13-G12)</x:f>
      </x:c>
      <x:c r="K13" s="18" t="str">
        <x:f>IF(OR(H13="",H12=""),"",H13-H12)</x:f>
      </x:c>
      <x:c r="L13" s="18" t="str">
        <x:f>IF(OR(I13="",I12=""),"",I13-I12)</x:f>
      </x:c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6" t="str">
        <x:f>IF('광고_예산'!N13="","",'광고_예산'!N13)</x:f>
      </x:c>
      <x:c r="Z13" s="32" t="str">
        <x:f>IF(OR(O13="",P13="",O13=0),"",P13/O13)</x:f>
      </x:c>
    </x:row>
    <x:row r="14" ht="58" customHeight="1">
      <x:c r="A14" s="18" t="n">
        <x:v>9</x:v>
      </x:c>
      <x:c r="B14" s="20" t="n">
        <x:v>46329</x:v>
      </x:c>
      <x:c r="C14" s="20" t="n">
        <x:v>46335</x:v>
      </x:c>
      <x:c r="D14" s="18" t="n">
        <x:v>80</x:v>
      </x:c>
      <x:c r="E14" s="18" t="n">
        <x:v>25</x:v>
      </x:c>
      <x:c r="F14" s="18" t="n">
        <x:v>40</x:v>
      </x:c>
      <x:c r="G14" s="24"/>
      <x:c r="H14" s="24"/>
      <x:c r="I14" s="24"/>
      <x:c r="J14" s="18" t="str">
        <x:f>IF(OR(G14="",G13=""),"",G14-G13)</x:f>
      </x:c>
      <x:c r="K14" s="18" t="str">
        <x:f>IF(OR(H14="",H13=""),"",H14-H13)</x:f>
      </x:c>
      <x:c r="L14" s="18" t="str">
        <x:f>IF(OR(I14="",I13=""),"",I14-I13)</x:f>
      </x:c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6" t="str">
        <x:f>IF('광고_예산'!N14="","",'광고_예산'!N14)</x:f>
      </x:c>
      <x:c r="Z14" s="32" t="str">
        <x:f>IF(OR(O14="",P14="",O14=0),"",P14/O14)</x:f>
      </x:c>
    </x:row>
    <x:row r="15" ht="58" customHeight="1">
      <x:c r="A15" s="18" t="n">
        <x:v>10</x:v>
      </x:c>
      <x:c r="B15" s="20" t="n">
        <x:v>46336</x:v>
      </x:c>
      <x:c r="C15" s="20" t="n">
        <x:v>46342</x:v>
      </x:c>
      <x:c r="D15" s="18" t="n">
        <x:v>90</x:v>
      </x:c>
      <x:c r="E15" s="18" t="n">
        <x:v>25</x:v>
      </x:c>
      <x:c r="F15" s="18" t="n">
        <x:v>40</x:v>
      </x:c>
      <x:c r="G15" s="24"/>
      <x:c r="H15" s="24"/>
      <x:c r="I15" s="24"/>
      <x:c r="J15" s="18" t="str">
        <x:f>IF(OR(G15="",G14=""),"",G15-G14)</x:f>
      </x:c>
      <x:c r="K15" s="18" t="str">
        <x:f>IF(OR(H15="",H14=""),"",H15-H14)</x:f>
      </x:c>
      <x:c r="L15" s="18" t="str">
        <x:f>IF(OR(I15="",I14=""),"",I15-I14)</x:f>
      </x:c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6" t="str">
        <x:f>IF('광고_예산'!N15="","",'광고_예산'!N15)</x:f>
      </x:c>
      <x:c r="Z15" s="32" t="str">
        <x:f>IF(OR(O15="",P15="",O15=0),"",P15/O15)</x:f>
      </x:c>
    </x:row>
    <x:row r="16" ht="58" customHeight="1">
      <x:c r="A16" s="18" t="n">
        <x:v>11</x:v>
      </x:c>
      <x:c r="B16" s="20" t="n">
        <x:v>46343</x:v>
      </x:c>
      <x:c r="C16" s="20" t="n">
        <x:v>46349</x:v>
      </x:c>
      <x:c r="D16" s="18" t="n">
        <x:v>100</x:v>
      </x:c>
      <x:c r="E16" s="18" t="n">
        <x:v>25</x:v>
      </x:c>
      <x:c r="F16" s="18" t="n">
        <x:v>50</x:v>
      </x:c>
      <x:c r="G16" s="24"/>
      <x:c r="H16" s="24"/>
      <x:c r="I16" s="24"/>
      <x:c r="J16" s="18" t="str">
        <x:f>IF(OR(G16="",G15=""),"",G16-G15)</x:f>
      </x:c>
      <x:c r="K16" s="18" t="str">
        <x:f>IF(OR(H16="",H15=""),"",H16-H15)</x:f>
      </x:c>
      <x:c r="L16" s="18" t="str">
        <x:f>IF(OR(I16="",I15=""),"",I16-I15)</x:f>
      </x:c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6" t="str">
        <x:f>IF('광고_예산'!N16="","",'광고_예산'!N16)</x:f>
      </x:c>
      <x:c r="Z16" s="32" t="str">
        <x:f>IF(OR(O16="",P16="",O16=0),"",P16/O16)</x:f>
      </x:c>
    </x:row>
    <x:row r="17" ht="58" customHeight="1">
      <x:c r="A17" s="18" t="n">
        <x:v>12</x:v>
      </x:c>
      <x:c r="B17" s="20" t="n">
        <x:v>46350</x:v>
      </x:c>
      <x:c r="C17" s="20" t="n">
        <x:v>46356</x:v>
      </x:c>
      <x:c r="D17" s="18" t="n">
        <x:v>100</x:v>
      </x:c>
      <x:c r="E17" s="18" t="n">
        <x:v>25</x:v>
      </x:c>
      <x:c r="F17" s="18" t="n">
        <x:v>50</x:v>
      </x:c>
      <x:c r="G17" s="24"/>
      <x:c r="H17" s="24"/>
      <x:c r="I17" s="24"/>
      <x:c r="J17" s="18" t="str">
        <x:f>IF(OR(G17="",G16=""),"",G17-G16)</x:f>
      </x:c>
      <x:c r="K17" s="18" t="str">
        <x:f>IF(OR(H17="",H16=""),"",H17-H16)</x:f>
      </x:c>
      <x:c r="L17" s="18" t="str">
        <x:f>IF(OR(I17="",I16=""),"",I17-I16)</x:f>
      </x:c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6" t="str">
        <x:f>IF('광고_예산'!N17="","",'광고_예산'!N17)</x:f>
      </x:c>
      <x:c r="Z17" s="32" t="str">
        <x:f>IF(OR(O17="",P17="",O17=0),"",P17/O17)</x:f>
      </x:c>
    </x:row>
    <x:row r="18" ht="58" customHeight="1">
      <x:c r="A18" s="18" t="n">
        <x:v>13</x:v>
      </x:c>
      <x:c r="B18" s="20" t="n">
        <x:v>46357</x:v>
      </x:c>
      <x:c r="C18" s="20" t="n">
        <x:v>46363</x:v>
      </x:c>
      <x:c r="D18" s="18" t="n">
        <x:v>90</x:v>
      </x:c>
      <x:c r="E18" s="18" t="n">
        <x:v>25</x:v>
      </x:c>
      <x:c r="F18" s="18" t="n">
        <x:v>40</x:v>
      </x:c>
      <x:c r="G18" s="24"/>
      <x:c r="H18" s="24"/>
      <x:c r="I18" s="24"/>
      <x:c r="J18" s="18" t="str">
        <x:f>IF(OR(G18="",G17=""),"",G18-G17)</x:f>
      </x:c>
      <x:c r="K18" s="18" t="str">
        <x:f>IF(OR(H18="",H17=""),"",H18-H17)</x:f>
      </x:c>
      <x:c r="L18" s="18" t="str">
        <x:f>IF(OR(I18="",I17=""),"",I18-I17)</x:f>
      </x:c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6" t="str">
        <x:f>IF('광고_예산'!N18="","",'광고_예산'!N18)</x:f>
      </x:c>
      <x:c r="Z18" s="32" t="str">
        <x:f>IF(OR(O18="",P18="",O18=0),"",P18/O18)</x:f>
      </x:c>
    </x:row>
    <x:row r="19" ht="58" customHeight="1">
      <x:c r="A19" s="18" t="n">
        <x:v>14</x:v>
      </x:c>
      <x:c r="B19" s="20" t="n">
        <x:v>46364</x:v>
      </x:c>
      <x:c r="C19" s="20" t="n">
        <x:v>46370</x:v>
      </x:c>
      <x:c r="D19" s="18" t="n">
        <x:v>90</x:v>
      </x:c>
      <x:c r="E19" s="18" t="n">
        <x:v>25</x:v>
      </x:c>
      <x:c r="F19" s="18" t="n">
        <x:v>40</x:v>
      </x:c>
      <x:c r="G19" s="24"/>
      <x:c r="H19" s="24"/>
      <x:c r="I19" s="24"/>
      <x:c r="J19" s="18" t="str">
        <x:f>IF(OR(G19="",G18=""),"",G19-G18)</x:f>
      </x:c>
      <x:c r="K19" s="18" t="str">
        <x:f>IF(OR(H19="",H18=""),"",H19-H18)</x:f>
      </x:c>
      <x:c r="L19" s="18" t="str">
        <x:f>IF(OR(I19="",I18=""),"",I19-I18)</x:f>
      </x:c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6" t="str">
        <x:f>IF('광고_예산'!N19="","",'광고_예산'!N19)</x:f>
      </x:c>
      <x:c r="Z19" s="32" t="str">
        <x:f>IF(OR(O19="",P19="",O19=0),"",P19/O19)</x:f>
      </x:c>
    </x:row>
    <x:row r="20" ht="58" customHeight="1">
      <x:c r="A20" s="18" t="n">
        <x:v>15</x:v>
      </x:c>
      <x:c r="B20" s="20" t="n">
        <x:v>46371</x:v>
      </x:c>
      <x:c r="C20" s="20" t="n">
        <x:v>46372</x:v>
      </x:c>
      <x:c r="D20" s="18" t="n">
        <x:v>40</x:v>
      </x:c>
      <x:c r="E20" s="18" t="n">
        <x:v>10</x:v>
      </x:c>
      <x:c r="F20" s="18" t="n">
        <x:v>20</x:v>
      </x:c>
      <x:c r="G20" s="24"/>
      <x:c r="H20" s="24"/>
      <x:c r="I20" s="24"/>
      <x:c r="J20" s="18" t="str">
        <x:f>IF(OR(G20="",G19=""),"",G20-G19)</x:f>
      </x:c>
      <x:c r="K20" s="18" t="str">
        <x:f>IF(OR(H20="",H19=""),"",H20-H19)</x:f>
      </x:c>
      <x:c r="L20" s="18" t="str">
        <x:f>IF(OR(I20="",I19=""),"",I20-I19)</x:f>
      </x:c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6" t="str">
        <x:f>IF('광고_예산'!N20="","",'광고_예산'!N20)</x:f>
      </x:c>
      <x:c r="Z20" s="32" t="str">
        <x:f>IF(OR(O20="",P20="",O20=0),"",P20/O20)</x:f>
      </x:c>
    </x:row>
    <x:row r="23">
      <x:c r="A23" t="str">
        <x:v>지표 해석</x:v>
      </x:c>
      <x:c r="B23" t="str">
        <x:v>정의</x:v>
      </x:c>
      <x:c r="C23"/>
      <x:c r="D23"/>
      <x:c r="E23"/>
      <x:c r="F23"/>
      <x:c r="G23"/>
      <x:c r="H23"/>
    </x:row>
    <x:row r="24">
      <x:c r="A24" t="str">
        <x:v>이웃</x:v>
      </x:c>
      <x:c r="B24" t="str">
        <x:v>내가 추가한 이웃이 아니라 나를 추가한 독자. 서로이웃 중복 합산 금지.</x:v>
      </x:c>
      <x:c r="C24"/>
      <x:c r="D24"/>
      <x:c r="E24"/>
      <x:c r="F24"/>
      <x:c r="G24"/>
      <x:c r="H24"/>
    </x:row>
    <x:row r="25">
      <x:c r="A25" t="str">
        <x:v>채널 친구</x:v>
      </x:c>
      <x:c r="B25" t="str">
        <x:v>친구추가 버튼 클릭수와 실제 추가 수를 구별. 가능하면 7일 이내 차단·활동 함께 점검.</x:v>
      </x:c>
      <x:c r="C25"/>
      <x:c r="D25"/>
      <x:c r="E25"/>
      <x:c r="F25"/>
      <x:c r="G25"/>
      <x:c r="H25"/>
    </x:row>
    <x:row r="26">
      <x:c r="A26" t="str">
        <x:v>광고 효과</x:v>
      </x:c>
      <x:c r="B26" t="str">
        <x:v>지출/전체 순증은 참고 효율일 뿐 광고의 순수 효과가 아님. 실제 제공되는 광고 지표와 출처코드 병행.</x:v>
      </x:c>
      <x:c r="C26"/>
      <x:c r="D26"/>
      <x:c r="E26"/>
      <x:c r="F26"/>
      <x:c r="G26"/>
      <x:c r="H26"/>
    </x:row>
    <x:row r="27">
      <x:c r="A27" t="str">
        <x:v>체험</x:v>
      </x:c>
      <x:c r="B27" t="str">
        <x:v>신청·첫학습·등록은 같은 신청 코호트와 충분한 관찰기간으로 비교. 이 시트 주간합계만으로 인과추론 금지.</x:v>
      </x:c>
      <x:c r="C27"/>
      <x:c r="D27"/>
      <x:c r="E27"/>
      <x:c r="F27"/>
      <x:c r="G27"/>
      <x:c r="H27"/>
    </x:row>
  </x:sheetData>
  <x:mergeCells>
    <x:mergeCell ref="A1:Z1"/>
    <x:mergeCell ref="A2:Z3"/>
  </x:mergeCells>
  <x:pageMargins left="0.7" right="0.7" top="0.75" bottom="0.75" header="0.3" footer="0.3"/>
  <x:tableParts count="1">
    <x:tablePart xmlns:r="http://schemas.openxmlformats.org/officeDocument/2006/relationships" r:id="Rf275e5b8d73d488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3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  <x:col min="9" max="9" width="38" hidden="0" customWidth="1"/>
    <x:col min="10" max="10" width="19" hidden="0" customWidth="1"/>
    <x:col min="11" max="11" width="38" hidden="0" customWidth="1"/>
    <x:col min="12" max="12" width="19" hidden="0" customWidth="1"/>
    <x:col min="13" max="13" width="19" hidden="0" customWidth="1"/>
    <x:col min="14" max="14" width="19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</x:cols>
  <x:sheetData>
    <x:row r="1" ht="30" customHeight="1">
      <x:c r="A1" s="7" t="str">
        <x:v>제휴 | 공개 협업 창구에서 시작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 ht="26" customHeight="1">
      <x:c r="A2" s="11" t="str">
        <x:v>실제 발굴 후보를 직접 입력하는 빈 관리표. 연락처 크롤링·학부모 명단 수집 금지. 협업을 받는다고 밝힌 창구·운영자 승인 절차만 사용. 1차 제안 후 허용된 1회 확인, 거절·무응답 지속 시 종료.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6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38" customHeight="1">
      <x:c r="A5" s="15" t="str">
        <x:v>ID</x:v>
      </x:c>
      <x:c r="B5" s="15" t="str">
        <x:v>계정·커뮤니티</x:v>
      </x:c>
      <x:c r="C5" s="15" t="str">
        <x:v>공개 URL</x:v>
      </x:c>
      <x:c r="D5" s="15" t="str">
        <x:v>분야</x:v>
      </x:c>
      <x:c r="E5" s="15" t="str">
        <x:v>대상 적합성(1~5)</x:v>
      </x:c>
      <x:c r="F5" s="15" t="str">
        <x:v>최근 관련반응(1~5)</x:v>
      </x:c>
      <x:c r="G5" s="15" t="str">
        <x:v>광고 과밀도(1~5,낮음=5)</x:v>
      </x:c>
      <x:c r="H5" s="15" t="str">
        <x:v>공개협업창구</x:v>
      </x:c>
      <x:c r="I5" s="15" t="str">
        <x:v>허용조건</x:v>
      </x:c>
      <x:c r="J5" s="15" t="str">
        <x:v>제안일</x:v>
      </x:c>
      <x:c r="K5" s="15" t="str">
        <x:v>제안한 자료</x:v>
      </x:c>
      <x:c r="L5" s="15" t="str">
        <x:v>상태</x:v>
      </x:c>
      <x:c r="M5" s="15" t="str">
        <x:v>합의예산</x:v>
      </x:c>
      <x:c r="N5" s="15" t="str">
        <x:v>게시일</x:v>
      </x:c>
      <x:c r="O5" s="15" t="str">
        <x:v>추적코드</x:v>
      </x:c>
      <x:c r="P5" s="15" t="str">
        <x:v>기재된 대가표시</x:v>
      </x:c>
      <x:c r="Q5" s="15" t="str">
        <x:v>실제 문의·첫학습</x:v>
      </x:c>
      <x:c r="R5" s="15" t="str">
        <x:v>메모</x:v>
      </x:c>
    </x:row>
    <x:row r="6" ht="52" customHeight="1">
      <x:c r="A6" s="18" t="str">
        <x:v>P01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 t="str">
        <x:v>후보</x:v>
      </x:c>
      <x:c r="M6" s="24"/>
      <x:c r="N6" s="24"/>
      <x:c r="O6" s="24"/>
      <x:c r="P6" s="24"/>
      <x:c r="Q6" s="24"/>
      <x:c r="R6" s="24"/>
    </x:row>
    <x:row r="7" ht="52" customHeight="1">
      <x:c r="A7" s="18" t="str">
        <x:v>P02</x:v>
      </x:c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 t="str">
        <x:v>후보</x:v>
      </x:c>
      <x:c r="M7" s="24"/>
      <x:c r="N7" s="24"/>
      <x:c r="O7" s="24"/>
      <x:c r="P7" s="24"/>
      <x:c r="Q7" s="24"/>
      <x:c r="R7" s="24"/>
    </x:row>
    <x:row r="8" ht="52" customHeight="1">
      <x:c r="A8" s="18" t="str">
        <x:v>P03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 t="str">
        <x:v>후보</x:v>
      </x:c>
      <x:c r="M8" s="24"/>
      <x:c r="N8" s="24"/>
      <x:c r="O8" s="24"/>
      <x:c r="P8" s="24"/>
      <x:c r="Q8" s="24"/>
      <x:c r="R8" s="24"/>
    </x:row>
    <x:row r="9" ht="52" customHeight="1">
      <x:c r="A9" s="18" t="str">
        <x:v>P04</x:v>
      </x:c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 t="str">
        <x:v>후보</x:v>
      </x:c>
      <x:c r="M9" s="24"/>
      <x:c r="N9" s="24"/>
      <x:c r="O9" s="24"/>
      <x:c r="P9" s="24"/>
      <x:c r="Q9" s="24"/>
      <x:c r="R9" s="24"/>
    </x:row>
    <x:row r="10" ht="52" customHeight="1">
      <x:c r="A10" s="18" t="str">
        <x:v>P05</x:v>
      </x:c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 t="str">
        <x:v>후보</x:v>
      </x:c>
      <x:c r="M10" s="24"/>
      <x:c r="N10" s="24"/>
      <x:c r="O10" s="24"/>
      <x:c r="P10" s="24"/>
      <x:c r="Q10" s="24"/>
      <x:c r="R10" s="24"/>
    </x:row>
    <x:row r="11" ht="52" customHeight="1">
      <x:c r="A11" s="18" t="str">
        <x:v>P06</x:v>
      </x:c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 t="str">
        <x:v>후보</x:v>
      </x:c>
      <x:c r="M11" s="24"/>
      <x:c r="N11" s="24"/>
      <x:c r="O11" s="24"/>
      <x:c r="P11" s="24"/>
      <x:c r="Q11" s="24"/>
      <x:c r="R11" s="24"/>
    </x:row>
    <x:row r="12" ht="52" customHeight="1">
      <x:c r="A12" s="18" t="str">
        <x:v>P07</x:v>
      </x:c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 t="str">
        <x:v>후보</x:v>
      </x:c>
      <x:c r="M12" s="24"/>
      <x:c r="N12" s="24"/>
      <x:c r="O12" s="24"/>
      <x:c r="P12" s="24"/>
      <x:c r="Q12" s="24"/>
      <x:c r="R12" s="24"/>
    </x:row>
    <x:row r="13" ht="52" customHeight="1">
      <x:c r="A13" s="18" t="str">
        <x:v>P08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 t="str">
        <x:v>후보</x:v>
      </x:c>
      <x:c r="M13" s="24"/>
      <x:c r="N13" s="24"/>
      <x:c r="O13" s="24"/>
      <x:c r="P13" s="24"/>
      <x:c r="Q13" s="24"/>
      <x:c r="R13" s="24"/>
    </x:row>
    <x:row r="14" ht="52" customHeight="1">
      <x:c r="A14" s="18" t="str">
        <x:v>P09</x:v>
      </x:c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 t="str">
        <x:v>후보</x:v>
      </x:c>
      <x:c r="M14" s="24"/>
      <x:c r="N14" s="24"/>
      <x:c r="O14" s="24"/>
      <x:c r="P14" s="24"/>
      <x:c r="Q14" s="24"/>
      <x:c r="R14" s="24"/>
    </x:row>
    <x:row r="15" ht="52" customHeight="1">
      <x:c r="A15" s="18" t="str">
        <x:v>P10</x:v>
      </x:c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 t="str">
        <x:v>후보</x:v>
      </x:c>
      <x:c r="M15" s="24"/>
      <x:c r="N15" s="24"/>
      <x:c r="O15" s="24"/>
      <x:c r="P15" s="24"/>
      <x:c r="Q15" s="24"/>
      <x:c r="R15" s="24"/>
    </x:row>
    <x:row r="16" ht="52" customHeight="1">
      <x:c r="A16" s="18" t="str">
        <x:v>P11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 t="str">
        <x:v>후보</x:v>
      </x:c>
      <x:c r="M16" s="24"/>
      <x:c r="N16" s="24"/>
      <x:c r="O16" s="24"/>
      <x:c r="P16" s="24"/>
      <x:c r="Q16" s="24"/>
      <x:c r="R16" s="24"/>
    </x:row>
    <x:row r="17" ht="52" customHeight="1">
      <x:c r="A17" s="18" t="str">
        <x:v>P12</x:v>
      </x:c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 t="str">
        <x:v>후보</x:v>
      </x:c>
      <x:c r="M17" s="24"/>
      <x:c r="N17" s="24"/>
      <x:c r="O17" s="24"/>
      <x:c r="P17" s="24"/>
      <x:c r="Q17" s="24"/>
      <x:c r="R17" s="24"/>
    </x:row>
    <x:row r="18" ht="52" customHeight="1">
      <x:c r="A18" s="18" t="str">
        <x:v>P13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 t="str">
        <x:v>후보</x:v>
      </x:c>
      <x:c r="M18" s="24"/>
      <x:c r="N18" s="24"/>
      <x:c r="O18" s="24"/>
      <x:c r="P18" s="24"/>
      <x:c r="Q18" s="24"/>
      <x:c r="R18" s="24"/>
    </x:row>
    <x:row r="19" ht="52" customHeight="1">
      <x:c r="A19" s="18" t="str">
        <x:v>P14</x:v>
      </x:c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 t="str">
        <x:v>후보</x:v>
      </x:c>
      <x:c r="M19" s="24"/>
      <x:c r="N19" s="24"/>
      <x:c r="O19" s="24"/>
      <x:c r="P19" s="24"/>
      <x:c r="Q19" s="24"/>
      <x:c r="R19" s="24"/>
    </x:row>
    <x:row r="20" ht="52" customHeight="1">
      <x:c r="A20" s="18" t="str">
        <x:v>P15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 t="str">
        <x:v>후보</x:v>
      </x:c>
      <x:c r="M20" s="24"/>
      <x:c r="N20" s="24"/>
      <x:c r="O20" s="24"/>
      <x:c r="P20" s="24"/>
      <x:c r="Q20" s="24"/>
      <x:c r="R20" s="24"/>
    </x:row>
    <x:row r="21" ht="52" customHeight="1">
      <x:c r="A21" s="18" t="str">
        <x:v>P16</x:v>
      </x:c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 t="str">
        <x:v>후보</x:v>
      </x:c>
      <x:c r="M21" s="24"/>
      <x:c r="N21" s="24"/>
      <x:c r="O21" s="24"/>
      <x:c r="P21" s="24"/>
      <x:c r="Q21" s="24"/>
      <x:c r="R21" s="24"/>
    </x:row>
    <x:row r="22" ht="52" customHeight="1">
      <x:c r="A22" s="18" t="str">
        <x:v>P17</x:v>
      </x:c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 t="str">
        <x:v>후보</x:v>
      </x:c>
      <x:c r="M22" s="24"/>
      <x:c r="N22" s="24"/>
      <x:c r="O22" s="24"/>
      <x:c r="P22" s="24"/>
      <x:c r="Q22" s="24"/>
      <x:c r="R22" s="24"/>
    </x:row>
    <x:row r="23" ht="52" customHeight="1">
      <x:c r="A23" s="18" t="str">
        <x:v>P18</x:v>
      </x:c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 t="str">
        <x:v>후보</x:v>
      </x:c>
      <x:c r="M23" s="24"/>
      <x:c r="N23" s="24"/>
      <x:c r="O23" s="24"/>
      <x:c r="P23" s="24"/>
      <x:c r="Q23" s="24"/>
      <x:c r="R23" s="24"/>
    </x:row>
    <x:row r="24" ht="52" customHeight="1">
      <x:c r="A24" s="18" t="str">
        <x:v>P19</x:v>
      </x:c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 t="str">
        <x:v>후보</x:v>
      </x:c>
      <x:c r="M24" s="24"/>
      <x:c r="N24" s="24"/>
      <x:c r="O24" s="24"/>
      <x:c r="P24" s="24"/>
      <x:c r="Q24" s="24"/>
      <x:c r="R24" s="24"/>
    </x:row>
    <x:row r="25" ht="52" customHeight="1">
      <x:c r="A25" s="18" t="str">
        <x:v>P20</x:v>
      </x:c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 t="str">
        <x:v>후보</x:v>
      </x:c>
      <x:c r="M25" s="24"/>
      <x:c r="N25" s="24"/>
      <x:c r="O25" s="24"/>
      <x:c r="P25" s="24"/>
      <x:c r="Q25" s="24"/>
      <x:c r="R25" s="24"/>
    </x:row>
    <x:row r="26" ht="52" customHeight="1">
      <x:c r="A26" s="18" t="str">
        <x:v>P21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 t="str">
        <x:v>후보</x:v>
      </x:c>
      <x:c r="M26" s="24"/>
      <x:c r="N26" s="24"/>
      <x:c r="O26" s="24"/>
      <x:c r="P26" s="24"/>
      <x:c r="Q26" s="24"/>
      <x:c r="R26" s="24"/>
    </x:row>
    <x:row r="27" ht="52" customHeight="1">
      <x:c r="A27" s="18" t="str">
        <x:v>P22</x:v>
      </x:c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 t="str">
        <x:v>후보</x:v>
      </x:c>
      <x:c r="M27" s="24"/>
      <x:c r="N27" s="24"/>
      <x:c r="O27" s="24"/>
      <x:c r="P27" s="24"/>
      <x:c r="Q27" s="24"/>
      <x:c r="R27" s="24"/>
    </x:row>
    <x:row r="28" ht="52" customHeight="1">
      <x:c r="A28" s="18" t="str">
        <x:v>P23</x:v>
      </x:c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 t="str">
        <x:v>후보</x:v>
      </x:c>
      <x:c r="M28" s="24"/>
      <x:c r="N28" s="24"/>
      <x:c r="O28" s="24"/>
      <x:c r="P28" s="24"/>
      <x:c r="Q28" s="24"/>
      <x:c r="R28" s="24"/>
    </x:row>
    <x:row r="29" ht="52" customHeight="1">
      <x:c r="A29" s="18" t="str">
        <x:v>P24</x:v>
      </x:c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 t="str">
        <x:v>후보</x:v>
      </x:c>
      <x:c r="M29" s="24"/>
      <x:c r="N29" s="24"/>
      <x:c r="O29" s="24"/>
      <x:c r="P29" s="24"/>
      <x:c r="Q29" s="24"/>
      <x:c r="R29" s="24"/>
    </x:row>
    <x:row r="30" ht="52" customHeight="1">
      <x:c r="A30" s="18" t="str">
        <x:v>P25</x:v>
      </x:c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 t="str">
        <x:v>후보</x:v>
      </x:c>
      <x:c r="M30" s="24"/>
      <x:c r="N30" s="24"/>
      <x:c r="O30" s="24"/>
      <x:c r="P30" s="24"/>
      <x:c r="Q30" s="24"/>
      <x:c r="R30" s="24"/>
    </x:row>
    <x:row r="31" ht="52" customHeight="1">
      <x:c r="A31" s="18" t="str">
        <x:v>P26</x:v>
      </x:c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 t="str">
        <x:v>후보</x:v>
      </x:c>
      <x:c r="M31" s="24"/>
      <x:c r="N31" s="24"/>
      <x:c r="O31" s="24"/>
      <x:c r="P31" s="24"/>
      <x:c r="Q31" s="24"/>
      <x:c r="R31" s="24"/>
    </x:row>
    <x:row r="32" ht="52" customHeight="1">
      <x:c r="A32" s="18" t="str">
        <x:v>P27</x:v>
      </x:c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 t="str">
        <x:v>후보</x:v>
      </x:c>
      <x:c r="M32" s="24"/>
      <x:c r="N32" s="24"/>
      <x:c r="O32" s="24"/>
      <x:c r="P32" s="24"/>
      <x:c r="Q32" s="24"/>
      <x:c r="R32" s="24"/>
    </x:row>
    <x:row r="33" ht="52" customHeight="1">
      <x:c r="A33" s="18" t="str">
        <x:v>P28</x:v>
      </x:c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 t="str">
        <x:v>후보</x:v>
      </x:c>
      <x:c r="M33" s="24"/>
      <x:c r="N33" s="24"/>
      <x:c r="O33" s="24"/>
      <x:c r="P33" s="24"/>
      <x:c r="Q33" s="24"/>
      <x:c r="R33" s="24"/>
    </x:row>
    <x:row r="34" ht="52" customHeight="1">
      <x:c r="A34" s="18" t="str">
        <x:v>P29</x:v>
      </x:c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 t="str">
        <x:v>후보</x:v>
      </x:c>
      <x:c r="M34" s="24"/>
      <x:c r="N34" s="24"/>
      <x:c r="O34" s="24"/>
      <x:c r="P34" s="24"/>
      <x:c r="Q34" s="24"/>
      <x:c r="R34" s="24"/>
    </x:row>
    <x:row r="35" ht="52" customHeight="1">
      <x:c r="A35" s="18" t="str">
        <x:v>P30</x:v>
      </x:c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 t="str">
        <x:v>후보</x:v>
      </x:c>
      <x:c r="M35" s="24"/>
      <x:c r="N35" s="24"/>
      <x:c r="O35" s="24"/>
      <x:c r="P35" s="24"/>
      <x:c r="Q35" s="24"/>
      <x:c r="R35" s="24"/>
    </x:row>
  </x:sheetData>
  <x:mergeCells>
    <x:mergeCell ref="A1:R1"/>
    <x:mergeCell ref="A2:R3"/>
  </x:mergeCells>
  <x:dataValidations count="1">
    <x:dataValidation type="list" sqref="L6:L35">
      <x:formula1>"후보,허용조건확인,제안,협의,합의,발행,종료"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96342afb47401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7" t="str">
        <x:v>문구 | 관계를 만들되 과장하지 않기</x:v>
      </x:c>
      <x:c r="B1" s="7"/>
      <x:c r="C1" s="7"/>
      <x:c r="D1" s="7"/>
      <x:c r="E1" s="7"/>
    </x:row>
    <x:row r="2" ht="26" customHeight="1">
      <x:c r="A2" s="11" t="str">
        <x:v>그대로 대량 복사·발송하는 문장이 아니다. 실제 읽은 글·제공 자료·대상 상황에 맞게 수정. 개별 연락은 수신 의사와 플랫폼 정책을 먼저 확인.</x:v>
      </x:c>
      <x:c r="B2" s="11"/>
      <x:c r="C2" s="11"/>
      <x:c r="D2" s="11"/>
      <x:c r="E2" s="11"/>
    </x:row>
    <x:row r="3" ht="26" customHeight="1">
      <x:c r="A3" s="11"/>
      <x:c r="B3" s="11"/>
      <x:c r="C3" s="11"/>
      <x:c r="D3" s="11"/>
      <x:c r="E3" s="11"/>
    </x:row>
    <x:row r="4">
      <x:c r="A4" s="4"/>
      <x:c r="B4" s="4"/>
      <x:c r="C4" s="4"/>
      <x:c r="D4" s="4"/>
      <x:c r="E4" s="4"/>
    </x:row>
    <x:row r="5" ht="38" customHeight="1">
      <x:c r="A5" s="15" t="str">
        <x:v>ID</x:v>
      </x:c>
      <x:c r="B5" s="15" t="str">
        <x:v>용도</x:v>
      </x:c>
      <x:c r="C5" s="15" t="str">
        <x:v>사용 조건</x:v>
      </x:c>
      <x:c r="D5" s="15" t="str">
        <x:v>문구 초안</x:v>
      </x:c>
      <x:c r="E5" s="15" t="str">
        <x:v>금지·주의</x:v>
      </x:c>
    </x:row>
    <x:row r="6" ht="110" customHeight="1">
      <x:c r="A6" s="18" t="str">
        <x:v>T01</x:v>
      </x:c>
      <x:c r="B6" s="18" t="str">
        <x:v>네이버 댓글</x:v>
      </x:c>
      <x:c r="C6" s="18" t="str">
        <x:v>최근 글에 내용상 도움이 되는 의견이 있을 때</x:v>
      </x:c>
      <x:c r="D6" s="18" t="str">
        <x:v>[실제 읽은 대목]에서 아이가 스스로 설명하도록 기다려주신 부분이 인상 깊었습니다. 저는 수학·파이썬을 가르치며 [관련 관찰]을 자주 봅니다. [글 주제에 맞는 구체적 의견]도 함께 생각해 볼 수 있겠네요.</x:v>
      </x:c>
      <x:c r="E6" s="18" t="str">
        <x:v>상품 링크·맞공감 요구·복붙 금지. 진짜 의견이 없으면 남기지 않기.</x:v>
      </x:c>
    </x:row>
    <x:row r="7" ht="110" customHeight="1">
      <x:c r="A7" s="18" t="str">
        <x:v>T02</x:v>
      </x:c>
      <x:c r="B7" s="18" t="str">
        <x:v>이웃 신청</x:v>
      </x:c>
      <x:c r="C7" s="18" t="str">
        <x:v>교류했고 교육 관심이 맞는 상대</x:v>
      </x:c>
      <x:c r="D7" s="18" t="str">
        <x:v>안녕하세요. 초등수학·파이썬을 가르치는 메타센스 운영자입니다. [글 제목]을 읽고 [구체적 이유]가 좋아 이웃으로 배우고 싶어 신청드립니다.</x:v>
      </x:c>
      <x:c r="E7" s="18" t="str">
        <x:v>수강 홍보 메시지로 변질시키지 않기. 수락 강요·거절 후 재신청 금지.</x:v>
      </x:c>
    </x:row>
    <x:row r="8" ht="110" customHeight="1">
      <x:c r="A8" s="18" t="str">
        <x:v>T03</x:v>
      </x:c>
      <x:c r="B8" s="18" t="str">
        <x:v>인스타 관계 형성</x:v>
      </x:c>
      <x:c r="C8" s="18" t="str">
        <x:v>관련 공개 게시물에 실제 의견</x:v>
      </x:c>
      <x:c r="D8" s="18" t="str">
        <x:v>[상대의 질문]에 대해 저는 수업에서 [직접 경험]을 확인해 봅니다. [짧은 실용 제안].</x:v>
      </x:c>
      <x:c r="E8" s="18" t="str">
        <x:v>팔로우하면 맞팔·선팔했으니맞팔 요구 금지. 관심 맞을 때 자발 팔로우.</x:v>
      </x:c>
    </x:row>
    <x:row r="9" ht="110" customHeight="1">
      <x:c r="A9" s="18" t="str">
        <x:v>T04</x:v>
      </x:c>
      <x:c r="B9" s="18" t="str">
        <x:v>제휴 제안</x:v>
      </x:c>
      <x:c r="C9" s="18" t="str">
        <x:v>협업·제휴를 접수하는 공개 창구</x:v>
      </x:c>
      <x:c r="D9" s="18" t="str">
        <x:v>안녕하세요. 메타센스를 운영하며 초등수학과 파이썬을 가르칩니다. [상대 콘텐츠]의 학부모 질문과 연결되는 [자료]를 함께 소개하는 협업을 제안드립니다. 저희가 자료와 짧은 시연을 준비하고, 게시 위치·운영자 승인·광고표시·비용은 사전에 협의하겠습니다. 판매 공지보다 학부모에게 실제 도움이 되는 설명을 중심으로 진행하려 합니다.</x:v>
      </x:c>
      <x:c r="E9" s="18" t="str">
        <x:v>학부모 개인에게 무단 영업DM 금지. 명단 제공·결과보장 요구하지 않기.</x:v>
      </x:c>
    </x:row>
    <x:row r="10" ht="110" customHeight="1">
      <x:c r="A10" s="18" t="str">
        <x:v>T05</x:v>
      </x:c>
      <x:c r="B10" s="18" t="str">
        <x:v>자료 CTA</x:v>
      </x:c>
      <x:c r="C10" s="18" t="str">
        <x:v>샘플을 공개한 게시물</x:v>
      </x:c>
      <x:c r="D10" s="18" t="str">
        <x:v>집에서 함께 써볼 [자료명] 샘플을 공개했습니다. 전체 자료가 필요한 분은 프로필의 자료 안내 또는 카카오 채널에서 [요청어]를 보내주세요. 다음 편도 이 계정에 올리겠습니다.</x:v>
      </x:c>
      <x:c r="E10" s="18" t="str">
        <x:v>3채널 인증·학생정보 요구·무단 후속광고 금지.</x:v>
      </x:c>
    </x:row>
    <x:row r="11" ht="110" customHeight="1">
      <x:c r="A11" s="18" t="str">
        <x:v>T06</x:v>
      </x:c>
      <x:c r="B11" s="18" t="str">
        <x:v>카카오 자료 답변</x:v>
      </x:c>
      <x:c r="C11" s="18" t="str">
        <x:v>사용자가 해당 자료를 요청했을 때</x:v>
      </x:c>
      <x:c r="D11" s="18" t="str">
        <x:v>요청하신 [자료명]입니다. [자료 연결] 처음에는 한 가지 질문만 골라 아이 설명을 들어보세요. 사용하다 궁금한 점은 이 대화에 남겨주시면 안내하겠습니다.</x:v>
      </x:c>
      <x:c r="E11" s="18" t="str">
        <x:v>자료 제공 1회에 대한 요청을 계속 광고해도 된다는 동의로 해석하지 않기.</x:v>
      </x:c>
    </x:row>
    <x:row r="12" ht="110" customHeight="1">
      <x:c r="A12" s="18" t="str">
        <x:v>T07</x:v>
      </x:c>
      <x:c r="B12" s="18" t="str">
        <x:v>광고 수신 선택</x:v>
      </x:c>
      <x:c r="C12" s="18" t="str">
        <x:v>향후 모집·홍보를 전달하려는 경우</x:v>
      </x:c>
      <x:c r="D12" s="18" t="str">
        <x:v>[선택] 메타센스의 과정 모집·프로그램 안내 등 광고성 정보 수신에 동의합니다. 수신 경로·철회 방법은 안내에서 확인할 수 있습니다.</x:v>
      </x:c>
      <x:c r="E12" s="18" t="str">
        <x:v>‘혜택 알림’·‘정보 제공’만으로 모호하게 표현하지 않기. 실제 서비스에 맞는 동의 문구·필수 고지 별도 점검.</x:v>
      </x:c>
    </x:row>
    <x:row r="13" ht="110" customHeight="1">
      <x:c r="A13" s="18" t="str">
        <x:v>T08</x:v>
      </x:c>
      <x:c r="B13" s="18" t="str">
        <x:v>개인 계정 소개</x:v>
      </x:c>
      <x:c r="C13" s="18" t="str">
        <x:v>운영자 본인의 공개 블로그·SNS</x:v>
      </x:c>
      <x:c r="D13" s="18" t="str">
        <x:v>아이와 공부하며 만들었던 수학감각의 이야기를, 이제 메타센스 공식 계정에서도 나누려 합니다. 공식 계정에는 실제 문제와 수업 장면을, 이곳에는 그 교육을 만드는 생각을 남기겠습니다.</x:v>
      </x:c>
      <x:c r="E13" s="18" t="str">
        <x:v>개인 계정의 기존 전문성 유지. 같은 글 완전 복제·지인에게 3채널 인증 강요 금지.</x:v>
      </x:c>
    </x:row>
    <x:row r="14" ht="110" customHeight="1">
      <x:c r="A14" s="18" t="str">
        <x:v>T09</x:v>
      </x:c>
      <x:c r="B14" s="18" t="str">
        <x:v>학부모 자율 소개</x:v>
      </x:c>
      <x:c r="C14" s="18" t="str">
        <x:v>안내에 동의한 기존 학부모 또는 진행중 상담</x:v>
      </x:c>
      <x:c r="D14" s="18" t="str">
        <x:v>주변에 수학 개념이나 파이썬 시작을 고민하는 가정이 있다면, 이 소개 자료를 편하게 전달하셔도 됩니다. 체험 대상과 조건은 안내에서 확인하실 수 있습니다.</x:v>
      </x:c>
      <x:c r="E14" s="18" t="str">
        <x:v>지인 연락처를 대신 받지 않기. 기존 추천 혜택이 있으면 정확히 명시; 임의 추가 할인 금지.</x:v>
      </x:c>
    </x:row>
    <x:row r="15" ht="110" customHeight="1">
      <x:c r="A15" s="18" t="str">
        <x:v>T10</x:v>
      </x:c>
      <x:c r="B15" s="18" t="str">
        <x:v>설명회 안내</x:v>
      </x:c>
      <x:c r="C15" s="18" t="str">
        <x:v>공개 게시·승인된 제휴공간</x:v>
      </x:c>
      <x:c r="D15" s="18" t="str">
        <x:v>[행사명]에서 문제·코드·학습 화면을 직접 보여드립니다. [대상], [일시], [소요시간]. 마지막에는 메타센스 이용 안내와 질문 시간이 있습니다. 참여 조건과 신청 방법은 [안내]에서 확인해주세요.</x:v>
      </x:c>
      <x:c r="E15" s="18" t="str">
        <x:v>실제 준비·수용 가능 인원만 모집. 허위 마감·허위 정원 금지.</x:v>
      </x:c>
    </x:row>
    <x:row r="16" ht="110" customHeight="1">
      <x:c r="A16" s="18" t="str">
        <x:v>T11</x:v>
      </x:c>
      <x:c r="B16" s="18" t="str">
        <x:v>대가 제공 협업 고지</x:v>
      </x:c>
      <x:c r="C16" s="18" t="str">
        <x:v>실제 제공 내역이 있는 후기·공동콘텐츠</x:v>
      </x:c>
      <x:c r="D16" s="18" t="str">
        <x:v>[광고/협찬] 메타센스로부터 [무료 수강/자료/제작비 등 실제 제공 내역]를 제공받아 작성했습니다.</x:v>
      </x:c>
      <x:c r="E16" s="18" t="str">
        <x:v>내용과 가까운 잘 보이는 위치에 표시. 실제 정책에 맞게 검수. 긍정후기·만족도 보장 강요 금지.</x:v>
      </x:c>
    </x:row>
    <x:row r="17" ht="110" customHeight="1">
      <x:c r="A17" s="18" t="str">
        <x:v>T12</x:v>
      </x:c>
      <x:c r="B17" s="18" t="str">
        <x:v>종료·후속 문의</x:v>
      </x:c>
      <x:c r="C17" s="18" t="str">
        <x:v>이용자가 신청한 체험의 마무리</x:v>
      </x:c>
      <x:c r="D17" s="18" t="str">
        <x:v>체험 기간에 [실제 수행 내용]을 확인했습니다. [관찰한 점]을 바탕으로 다음에는 [적절한 학습 선택]을 검토하실 수 있습니다. 정규 과정의 대상·조건은 안내에서 확인해주세요.</x:v>
      </x:c>
      <x:c r="E17" s="18" t="str">
        <x:v>확인하지 않은 학습 효과 주장 금지. 서비스 안내에 광고를 섞으면 광고 기준도 검토.</x:v>
      </x:c>
    </x:row>
    <x:row r="18" ht="110" customHeight="1">
      <x:c r="A18" s="18" t="str">
        <x:v>T13</x:v>
      </x:c>
      <x:c r="B18" s="18" t="str">
        <x:v>인스타 광고 A</x:v>
      </x:c>
      <x:c r="C18" s="18" t="str">
        <x:v>프로필 방문 목적의 교사시연</x:v>
      </x:c>
      <x:c r="D18" s="18" t="str">
        <x:v>24÷6을 맞혔다면, 이번엔 그림으로 설명해 볼까요? 초등수학을 집에서 함께 살펴보는 질문을 메타센스에서 나눕니다.</x:v>
      </x:c>
      <x:c r="E18" s="18" t="str">
        <x:v>개별 아동의 결함을 단정하지 않기. 광고 최종 연결은 인스타 프로필.</x:v>
      </x:c>
    </x:row>
    <x:row r="19" ht="110" customHeight="1">
      <x:c r="A19" s="18" t="str">
        <x:v>T14</x:v>
      </x:c>
      <x:c r="B19" s="18" t="str">
        <x:v>네이버 광고 B</x:v>
      </x:c>
      <x:c r="C19" s="18" t="str">
        <x:v>의도형 검색어와 실제 안내 글</x:v>
      </x:c>
      <x:c r="D19" s="18" t="str">
        <x:v>초등수학 온라인 수업, 체험 전에 확인할 학습·질문·피드백의 실제 과정.</x:v>
      </x:c>
      <x:c r="E19" s="18" t="str">
        <x:v>승인되는 키워드·내용으로만 집행. 검색 1위·성적보장 표현 금지.</x:v>
      </x:c>
    </x:row>
    <x:row r="20" ht="110" customHeight="1">
      <x:c r="A20" s="18" t="str">
        <x:v>T15</x:v>
      </x:c>
      <x:c r="B20" s="18" t="str">
        <x:v>카카오 광고 C</x:v>
      </x:c>
      <x:c r="C20" s="18" t="str">
        <x:v>자료요청·채널추가</x:v>
      </x:c>
      <x:c r="D20" s="18" t="str">
        <x:v>집에서 써보는 수학 질문 5개. 샘플을 보고, 필요한 자료는 메타센스 채널에서 요청하세요.</x:v>
      </x:c>
      <x:c r="E20" s="18" t="str">
        <x:v>친구추가 클릭≠실제추가. 공개 샘플과 자유로운 선택 유지.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58499a4b3195463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38" hidden="0" customWidth="1"/>
    <x:col min="5" max="5" width="38" hidden="0" customWidth="1"/>
    <x:col min="6" max="6" width="19" hidden="0" customWidth="1"/>
    <x:col min="7" max="7" width="38" hidden="0" customWidth="1"/>
  </x:cols>
  <x:sheetData>
    <x:row r="1" ht="30" customHeight="1">
      <x:c r="A1" s="7" t="str">
        <x:v>근거 | 공식 기능과 실험 가정의 구분</x:v>
      </x:c>
      <x:c r="B1" s="7"/>
      <x:c r="C1" s="7"/>
      <x:c r="D1" s="7"/>
      <x:c r="E1" s="7"/>
      <x:c r="F1" s="7"/>
      <x:c r="G1" s="7"/>
    </x:row>
    <x:row r="2" ht="26" customHeight="1">
      <x:c r="A2" s="11" t="str">
        <x:v>공식 기능 존재는 확인했지만 메타센스의 성장 효과가 검증되었다는 뜻은 아니다. 방법별 효과는 실제 2주 단위 결과로 판단한다.</x:v>
      </x:c>
      <x:c r="B2" s="11"/>
      <x:c r="C2" s="11"/>
      <x:c r="D2" s="11"/>
      <x:c r="E2" s="11"/>
      <x:c r="F2" s="11"/>
      <x:c r="G2" s="11"/>
    </x:row>
    <x:row r="3" ht="26" customHeight="1">
      <x:c r="A3" s="11"/>
      <x:c r="B3" s="11"/>
      <x:c r="C3" s="11"/>
      <x:c r="D3" s="11"/>
      <x:c r="E3" s="11"/>
      <x:c r="F3" s="11"/>
      <x:c r="G3" s="11"/>
    </x:row>
    <x:row r="4">
      <x:c r="A4" s="4"/>
      <x:c r="B4" s="4"/>
      <x:c r="C4" s="4"/>
      <x:c r="D4" s="4"/>
      <x:c r="E4" s="4"/>
      <x:c r="F4" s="4"/>
      <x:c r="G4" s="4"/>
    </x:row>
    <x:row r="5" ht="38" customHeight="1">
      <x:c r="A5" s="15" t="str">
        <x:v>ID</x:v>
      </x:c>
      <x:c r="B5" s="15" t="str">
        <x:v>항목</x:v>
      </x:c>
      <x:c r="C5" s="15" t="str">
        <x:v>출처 구분</x:v>
      </x:c>
      <x:c r="D5" s="15" t="str">
        <x:v>확인한 내용</x:v>
      </x:c>
      <x:c r="E5" s="15" t="str">
        <x:v>원문 URL</x:v>
      </x:c>
      <x:c r="F5" s="15" t="str">
        <x:v>확인일</x:v>
      </x:c>
      <x:c r="G5" s="15" t="str">
        <x:v>한계·적용</x:v>
      </x:c>
    </x:row>
    <x:row r="6" ht="84" customHeight="1">
      <x:c r="A6" s="18" t="str">
        <x:v>S01</x:v>
      </x:c>
      <x:c r="B6" s="18" t="str">
        <x:v>공동 게시</x:v>
      </x:c>
      <x:c r="C6" s="18" t="str">
        <x:v>Meta 공식</x:v>
      </x:c>
      <x:c r="D6" s="18" t="str">
        <x:v>공동 작성 수락 시 각 계정의 프로필과 상대 독자에게 콘텐츠 연결</x:v>
      </x:c>
      <x:c r="E6" s="18" t="str">
        <x:v>https://about.fb.com/news/2023/08/music-and-collabs-on-instagram/</x:v>
      </x:c>
      <x:c r="F6" s="18" t="str">
        <x:v>2026-09-07</x:v>
      </x:c>
      <x:c r="G6" s="18" t="str">
        <x:v>기능 검증. 모집 성과·팔로워 증가 보장 아님.</x:v>
      </x:c>
    </x:row>
    <x:row r="7" ht="84" customHeight="1">
      <x:c r="A7" s="18" t="str">
        <x:v>S02</x:v>
      </x:c>
      <x:c r="B7" s="18" t="str">
        <x:v>체험 릴스</x:v>
      </x:c>
      <x:c r="C7" s="18" t="str">
        <x:v>Meta 공식</x:v>
      </x:c>
      <x:c r="D7" s="18" t="str">
        <x:v>비팔로워에게 먼저 공유해 반응 시험</x:v>
      </x:c>
      <x:c r="E7" s="18" t="str">
        <x:v>https://about.fb.com/news/2024/12/trial-reels-try-content-non-followers-first-see-what-perfoms-best/</x:v>
      </x:c>
      <x:c r="F7" s="18" t="str">
        <x:v>2026-09-07</x:v>
      </x:c>
      <x:c r="G7" s="18" t="str">
        <x:v>계정에 기능이 제공되는지 확인. 없으면 일반 릴스 비교.</x:v>
      </x:c>
    </x:row>
    <x:row r="8" ht="84" customHeight="1">
      <x:c r="A8" s="18" t="str">
        <x:v>S03</x:v>
      </x:c>
      <x:c r="B8" s="18" t="str">
        <x:v>체험 릴스 관찰 결과</x:v>
      </x:c>
      <x:c r="C8" s="18" t="str">
        <x:v>Meta 자사 분석</x:v>
      </x:c>
      <x:c r="D8" s="18" t="str">
        <x:v>40만 이상 창작자 전후 내부 분석. 40%는 발행 증가, 그중 80% 비팔로워 도달 증가</x:v>
      </x:c>
      <x:c r="E8" s="18" t="str">
        <x:v>https://about.fb.com/news/2025/06/inspiring-creativity-that-brings-people-together/</x:v>
      </x:c>
      <x:c r="F8" s="18" t="str">
        <x:v>2026-09-07</x:v>
      </x:c>
      <x:c r="G8" s="18" t="str">
        <x:v>무작위 실험·메타센스 사례 아님. 전체 80%가 성공했다는 뜻 아님.</x:v>
      </x:c>
    </x:row>
    <x:row r="9" ht="84" customHeight="1">
      <x:c r="A9" s="18" t="str">
        <x:v>S04</x:v>
      </x:c>
      <x:c r="B9" s="18" t="str">
        <x:v>인스타 진정성 지침</x:v>
      </x:c>
      <x:c r="C9" s="18" t="str">
        <x:v>Instagram 공식 도움말</x:v>
      </x:c>
      <x:c r="D9" s="18" t="str">
        <x:v>인위적 팔로워·반복 댓글·동의 없는 반복 영리 접촉 지양</x:v>
      </x:c>
      <x:c r="E9" s="18" t="str">
        <x:v>https://www.facebook.com/help/instagram/477434105621119</x:v>
      </x:c>
      <x:c r="F9" s="18" t="str">
        <x:v>2026-09-07</x:v>
      </x:c>
      <x:c r="G9" s="18" t="str">
        <x:v>검색 색인에 공개된 공식 안내 확인. 댓글·팔로우 횟수를 안전 한도로 제시하지 않음.</x:v>
      </x:c>
    </x:row>
    <x:row r="10" ht="84" customHeight="1">
      <x:c r="A10" s="18" t="str">
        <x:v>S05</x:v>
      </x:c>
      <x:c r="B10" s="18" t="str">
        <x:v>프로필 방문 광고</x:v>
      </x:c>
      <x:c r="C10" s="18" t="str">
        <x:v>Meta 공식 도움말</x:v>
      </x:c>
      <x:c r="D10" s="18" t="str">
        <x:v>Traffic 목적의 프로필 방문 광고</x:v>
      </x:c>
      <x:c r="E10" s="18" t="str">
        <x:v>https://en-gb.facebook.com/business/help/1112249134336524</x:v>
      </x:c>
      <x:c r="F10" s="18" t="str">
        <x:v>2026-09-07</x:v>
      </x:c>
      <x:c r="G10" s="18" t="str">
        <x:v>계정별 UI·제공 지표 확인. 방문 최적화가 팔로워 수 보장은 아님.</x:v>
      </x:c>
    </x:row>
    <x:row r="11" ht="84" customHeight="1">
      <x:c r="A11" s="18" t="str">
        <x:v>S06</x:v>
      </x:c>
      <x:c r="B11" s="18" t="str">
        <x:v>클립→블로그</x:v>
      </x:c>
      <x:c r="C11" s="18" t="str">
        <x:v>네이버 공식 도움말</x:v>
      </x:c>
      <x:c r="D11" s="18" t="str">
        <x:v>콘텐츠 링크에서 자기 블로그 글 검색·첨부 가능</x:v>
      </x:c>
      <x:c r="E11" s="18" t="str">
        <x:v>https://help.naver.com/service/30048/contents/24430?lang=ko&amp;osType=COMMONOS</x:v>
      </x:c>
      <x:c r="F11" s="18" t="str">
        <x:v>2026-09-07</x:v>
      </x:c>
      <x:c r="G11" s="18" t="str">
        <x:v>관련 글 연결. 클립 조회·블로그 방문·이웃은 별도.</x:v>
      </x:c>
    </x:row>
    <x:row r="12" ht="84" customHeight="1">
      <x:c r="A12" s="18" t="str">
        <x:v>S07</x:v>
      </x:c>
      <x:c r="B12" s="18" t="str">
        <x:v>파워컨텐츠</x:v>
      </x:c>
      <x:c r="C12" s="18" t="str">
        <x:v>네이버 광고 공식</x:v>
      </x:c>
      <x:c r="D12" s="18" t="str">
        <x:v>블로그·카페 콘텐츠를 지정된 구매 가능 키워드에 CPC 광고</x:v>
      </x:c>
      <x:c r="E12" s="18" t="str">
        <x:v>https://ads.naver.com/help/faq/1127</x:v>
      </x:c>
      <x:c r="F12" s="18" t="str">
        <x:v>2026-09-07</x:v>
      </x:c>
      <x:c r="G12" s="18" t="str">
        <x:v>모든 교육 키워드에 등록 가능한 상품은 아님. 승인 조건 확인.</x:v>
      </x:c>
    </x:row>
    <x:row r="13" ht="84" customHeight="1">
      <x:c r="A13" s="18" t="str">
        <x:v>S08</x:v>
      </x:c>
      <x:c r="B13" s="18" t="str">
        <x:v>키워드 도구</x:v>
      </x:c>
      <x:c r="C13" s="18" t="str">
        <x:v>네이버 광고 공식</x:v>
      </x:c>
      <x:c r="D13" s="18" t="str">
        <x:v>월간 검색수·관련 키워드·클릭 참고지표 조회</x:v>
      </x:c>
      <x:c r="E13" s="18" t="str">
        <x:v>https://ads.naver.com/help/faq/1406</x:v>
      </x:c>
      <x:c r="F13" s="18" t="str">
        <x:v>2026-09-07</x:v>
      </x:c>
      <x:c r="G13" s="18" t="str">
        <x:v>계획의 키워드는 후보. 검색량·클릭단가를 미리 추정하지 않음.</x:v>
      </x:c>
    </x:row>
    <x:row r="14" ht="84" customHeight="1">
      <x:c r="A14" s="18" t="str">
        <x:v>S09</x:v>
      </x:c>
      <x:c r="B14" s="18" t="str">
        <x:v>블로그 검색 제한</x:v>
      </x:c>
      <x:c r="C14" s="18" t="str">
        <x:v>네이버 공식 도움말</x:v>
      </x:c>
      <x:c r="D14" s="18" t="str">
        <x:v>스팸·대량 반복·부적절한 홍보 제한</x:v>
      </x:c>
      <x:c r="E14" s="18" t="str">
        <x:v>https://help.naver.com/service/5626/contents/22928?lang=ko</x:v>
      </x:c>
      <x:c r="F14" s="18" t="str">
        <x:v>2026-09-07</x:v>
      </x:c>
      <x:c r="G14" s="18" t="str">
        <x:v>이웃 수·키워드 횟수·매일 발행이 상위노출을 보장한다는 근거로 사용 불가.</x:v>
      </x:c>
    </x:row>
    <x:row r="15" ht="84" customHeight="1">
      <x:c r="A15" s="18" t="str">
        <x:v>S10</x:v>
      </x:c>
      <x:c r="B15" s="18" t="str">
        <x:v>블로그 사용자 분석</x:v>
      </x:c>
      <x:c r="C15" s="18" t="str">
        <x:v>네이버 공식 도움말</x:v>
      </x:c>
      <x:c r="D15" s="18" t="str">
        <x:v>나를 이웃으로 추가한 이용자·이웃 변화 확인</x:v>
      </x:c>
      <x:c r="E15" s="18" t="str">
        <x:v>https://help.naver.com/service/5593/contents/15333</x:v>
      </x:c>
      <x:c r="F15" s="18" t="str">
        <x:v>2026-09-07</x:v>
      </x:c>
      <x:c r="G15" s="18" t="str">
        <x:v>검색 색인 확인. 내 구독 대상 증가와 내 독자 증가 구분.</x:v>
      </x:c>
    </x:row>
    <x:row r="16" ht="84" customHeight="1">
      <x:c r="A16" s="18" t="str">
        <x:v>S11</x:v>
      </x:c>
      <x:c r="B16" s="18" t="str">
        <x:v>카카오 채널추가 광고</x:v>
      </x:c>
      <x:c r="C16" s="18" t="str">
        <x:v>카카오 공식 가이드</x:v>
      </x:c>
      <x:c r="D16" s="18" t="str">
        <x:v>비즈보드/전환 캠페인에서 친구 확보 대상 채널 선택</x:v>
      </x:c>
      <x:c r="E16" s="18" t="str">
        <x:v>https://kakaobusiness.gitbook.io/main/ad/moment/performance/talkboard/campaign-group</x:v>
      </x:c>
      <x:c r="F16" s="18" t="str">
        <x:v>2026-09-07</x:v>
      </x:c>
      <x:c r="G16" s="18" t="str">
        <x:v>계정·최적화 설정 확인. 무조건 신규친구가 생기는 상품 아님.</x:v>
      </x:c>
    </x:row>
    <x:row r="17" ht="84" customHeight="1">
      <x:c r="A17" s="18" t="str">
        <x:v>S12</x:v>
      </x:c>
      <x:c r="B17" s="18" t="str">
        <x:v>카카오 메시지</x:v>
      </x:c>
      <x:c r="C17" s="18" t="str">
        <x:v>카카오 공식 가이드</x:v>
      </x:c>
      <x:c r="D17" s="18" t="str">
        <x:v>일반 메시지 건당 15원(VAT별도), 친구그룹·광고 고지 등</x:v>
      </x:c>
      <x:c r="E17" s="18" t="str">
        <x:v>https://kakaobusiness.gitbook.io/main/channel/run/message</x:v>
      </x:c>
      <x:c r="F17" s="18" t="str">
        <x:v>2026-09-07</x:v>
      </x:c>
      <x:c r="G17" s="18" t="str">
        <x:v>메시지 비용과 친구 확보 광고비는 별도. 제휴·상품별 특례가격을 일반화하지 않음.</x:v>
      </x:c>
    </x:row>
    <x:row r="18" ht="84" customHeight="1">
      <x:c r="A18" s="18" t="str">
        <x:v>S13</x:v>
      </x:c>
      <x:c r="B18" s="18" t="str">
        <x:v>카카오 비즈니스폼</x:v>
      </x:c>
      <x:c r="C18" s="18" t="str">
        <x:v>카카오 공식 가이드</x:v>
      </x:c>
      <x:c r="D18" s="18" t="str">
        <x:v>채널 추가 항목과 선택 동의문 제공</x:v>
      </x:c>
      <x:c r="E18" s="18" t="str">
        <x:v>https://kakaobusiness.gitbook.io/main/ad/moment/engagement/bizformplus/new</x:v>
      </x:c>
      <x:c r="F18" s="18" t="str">
        <x:v>2026-09-07</x:v>
      </x:c>
      <x:c r="G18" s="18" t="str">
        <x:v>폼 응답·친구추가·광고동의 구별. 강제·포괄동의 금지.</x:v>
      </x:c>
    </x:row>
    <x:row r="19" ht="84" customHeight="1">
      <x:c r="A19" s="18" t="str">
        <x:v>S14</x:v>
      </x:c>
      <x:c r="B19" s="18" t="str">
        <x:v>광고 수신동의</x:v>
      </x:c>
      <x:c r="C19" s="18" t="str">
        <x:v>KISA 공식</x:v>
      </x:c>
      <x:c r="D19" s="18" t="str">
        <x:v>혜택 알림·정보제공 같은 모호한 표현으로 광고 동의 유도 금지</x:v>
      </x:c>
      <x:c r="E19" s="18" t="str">
        <x:v>https://www.kisa.or.kr/402/form?postSeq=2577</x:v>
      </x:c>
      <x:c r="F19" s="18" t="str">
        <x:v>2026-09-07</x:v>
      </x:c>
      <x:c r="G19" s="18" t="str">
        <x:v>광고성 정보 수신동의임을 명확히. 자료 요청을 영구 홍보동의로 해석하지 않음.</x:v>
      </x:c>
    </x:row>
    <x:row r="20" ht="84" customHeight="1">
      <x:c r="A20" s="18" t="str">
        <x:v>S15</x:v>
      </x:c>
      <x:c r="B20" s="18" t="str">
        <x:v>협찬·경제관계 표시</x:v>
      </x:c>
      <x:c r="C20" s="18" t="str">
        <x:v>공정위 발표를 보도한 연합뉴스</x:v>
      </x:c>
      <x:c r="D20" s="18" t="str">
        <x:v>무료 제공·경품 후기 등 경제적 이해관계 명시</x:v>
      </x:c>
      <x:c r="E20" s="18" t="str">
        <x:v>https://www.yna.co.kr/view/AKR20251202046500002</x:v>
      </x:c>
      <x:c r="F20" s="18" t="str">
        <x:v>2026-09-07</x:v>
      </x:c>
      <x:c r="G20" s="18" t="str">
        <x:v>2차 보도. 실제 고지는 최신 공정위 지침·매체 정책과 대조.</x:v>
      </x:c>
    </x:row>
    <x:row r="21" ht="84" customHeight="1">
      <x:c r="A21" s="18" t="str">
        <x:v>S16</x:v>
      </x:c>
      <x:c r="B21" s="18" t="str">
        <x:v>스마트플레이스 범위</x:v>
      </x:c>
      <x:c r="C21" s="18" t="str">
        <x:v>네이버 공식</x:v>
      </x:c>
      <x:c r="D21" s="18" t="str">
        <x:v>유의미한 위치·전화정보 등 실제 등록기준</x:v>
      </x:c>
      <x:c r="E21" s="18" t="str">
        <x:v>https://new.smartplace.naver.com/help/policy?menu=regist&amp;tab=smartplace</x:v>
      </x:c>
      <x:c r="F21" s="18" t="str">
        <x:v>2026-09-07</x:v>
      </x:c>
      <x:c r="G21" s="18" t="str">
        <x:v>지역무관 온라인서비스에 허위 장소를 만들지 않음.</x:v>
      </x:c>
    </x:row>
    <x:row r="22" ht="84" customHeight="1">
      <x:c r="A22" s="18" t="str">
        <x:v>S17</x:v>
      </x:c>
      <x:c r="B22" s="18" t="str">
        <x:v>2026 추석 날짜</x:v>
      </x:c>
      <x:c r="C22" s="18" t="str">
        <x:v>한독상공회의소</x:v>
      </x:c>
      <x:c r="D22" s="18" t="str">
        <x:v>추석 공휴일 9월24~26일</x:v>
      </x:c>
      <x:c r="E22" s="18" t="str">
        <x:v>https://korea.ahk.de/ko/news2/2026/national-holidays-in-south-korea-germany-2026</x:v>
      </x:c>
      <x:c r="F22" s="18" t="str">
        <x:v>2026-09-07</x:v>
      </x:c>
      <x:c r="G22" s="18" t="str">
        <x:v>해당 주는 예약발행·가벼운 운영으로 설계.</x:v>
      </x:c>
    </x:row>
    <x:row r="23" ht="84" customHeight="1">
      <x:c r="A23" s="18" t="str">
        <x:v>P01</x:v>
      </x:c>
      <x:c r="B23" s="18" t="str">
        <x:v>수치·일정·예산</x:v>
      </x:c>
      <x:c r="C23" s="18" t="str">
        <x:v>본 실행안의 가정</x:v>
      </x:c>
      <x:c r="D23" s="18" t="str">
        <x:v>1000/300/500명 순증, 300만 원, 18~22시간/주, 행사일·횟수</x:v>
      </x:c>
      <x:c r="E23" s="18" t="str">
        <x:v>사용자 제공 채널·과정과 본 계획의 제안값</x:v>
      </x:c>
      <x:c r="F23" s="18" t="str">
        <x:v>2026-09-07</x:v>
      </x:c>
      <x:c r="G23" s="18" t="str">
        <x:v>업계 평균·성과 예측·집행 완료 아님. 2주 실적으로 수정.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cbfe3ab5d9074002"/>
  </x:tableParts>
</x:worksheet>
</file>